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95eb3b694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okups" sheetId="1" r:id="Rd64f520ec9334fb5"/>
    <x:sheet xmlns:r="http://schemas.openxmlformats.org/officeDocument/2006/relationships" name="Leads_Jobs" sheetId="2" r:id="Rff8a946a37c144c5"/>
    <x:sheet xmlns:r="http://schemas.openxmlformats.org/officeDocument/2006/relationships" name="Change_Manifest" sheetId="3" r:id="Rad77f278101c48e8"/>
    <x:sheet xmlns:r="http://schemas.openxmlformats.org/officeDocument/2006/relationships" name="Prospects" sheetId="4" r:id="R919d8b7c0f70485c"/>
    <x:sheet xmlns:r="http://schemas.openxmlformats.org/officeDocument/2006/relationships" name="Dashboard" sheetId="5" r:id="R1e0362cbab2e4e85"/>
    <x:sheet xmlns:r="http://schemas.openxmlformats.org/officeDocument/2006/relationships" name="Read_Me" sheetId="6" r:id="Ra137c70709fb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0.00"/>
    <x:numFmt numFmtId="202" formatCode="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5641836144168" /><Relationship Type="http://schemas.openxmlformats.org/officeDocument/2006/relationships/theme" Target="/xl/theme/theme1.xml" Id="R8fb745da31ec4b33" /><Relationship Type="http://schemas.openxmlformats.org/officeDocument/2006/relationships/sharedStrings" Target="/xl/sharedStrings.xml" Id="R3d6bb7039ac44498" /><Relationship Type="http://schemas.openxmlformats.org/officeDocument/2006/relationships/worksheet" Target="/xl/worksheets/sheet1.xml" Id="Rd64f520ec9334fb5" /><Relationship Type="http://schemas.openxmlformats.org/officeDocument/2006/relationships/worksheet" Target="/xl/worksheets/sheet2.xml" Id="Rff8a946a37c144c5" /><Relationship Type="http://schemas.openxmlformats.org/officeDocument/2006/relationships/worksheet" Target="/xl/worksheets/sheet3.xml" Id="Rad77f278101c48e8" /><Relationship Type="http://schemas.openxmlformats.org/officeDocument/2006/relationships/worksheet" Target="/xl/worksheets/sheet4.xml" Id="R919d8b7c0f70485c" /><Relationship Type="http://schemas.openxmlformats.org/officeDocument/2006/relationships/worksheet" Target="/xl/worksheets/sheet5.xml" Id="R1e0362cbab2e4e85" /><Relationship Type="http://schemas.openxmlformats.org/officeDocument/2006/relationships/worksheet" Target="/xl/worksheets/sheet6.xml" Id="Ra137c70709fb48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c181a0033544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Outcomes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'Dashboard'!$J$2:$J$4</c:f>
              <c:strCache>
                <c:ptCount val="0"/>
              </c:strCache>
            </c:strRef>
          </c:cat>
          <c:val>
            <c:numRef>
              <c:f>'Dashboard'!$K$2:$K$4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c181a0033544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eadsJobsTable" displayName="LeadsJobsTable" ref="A1:Y101" headerRowCount="1" totalsRowCount="0" totalsRowShown="0">
  <x:tableColumns count="25">
    <x:tableColumn id="1" name="Lead / Job ID"/>
    <x:tableColumn id="2" name="Lead Date"/>
    <x:tableColumn id="3" name="Customer / Business"/>
    <x:tableColumn id="4" name="Lead Source"/>
    <x:tableColumn id="5" name="Customer Problem"/>
    <x:tableColumn id="6" name="Qualification Minutes"/>
    <x:tableColumn id="7" name="Risk + Solution + Estimate Minutes"/>
    <x:tableColumn id="8" name="Quoted?"/>
    <x:tableColumn id="9" name="Outcome"/>
    <x:tableColumn id="10" name="Reason Lost"/>
    <x:tableColumn id="11" name="Solution Chosen"/>
    <x:tableColumn id="12" name="Quote Estimate"/>
    <x:tableColumn id="13" name="Authorized Ceiling"/>
    <x:tableColumn id="14" name="Billable Production Hours"/>
    <x:tableColumn id="15" name="Travel Hours"/>
    <x:tableColumn id="16" name="Service Revenue"/>
    <x:tableColumn id="17" name="Direct Expenses"/>
    <x:tableColumn id="18" name="Nonbillable Presale Hours"/>
    <x:tableColumn id="19" name="Total Attributable Hours"/>
    <x:tableColumn id="20" name="Net Revenue Before General Overhead"/>
    <x:tableColumn id="21" name="Effective $ / Attributable Hour"/>
    <x:tableColumn id="22" name="Scope Creep?"/>
    <x:tableColumn id="23" name="Correction?"/>
    <x:tableColumn id="24" name="Repeat / Referral?"/>
    <x:tableColumn id="25" name="Primary Les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geManifestTable" displayName="ChangeManifestTable" ref="A1:L501" headerRowCount="1" totalsRowCount="0" totalsRowShown="0">
  <x:tableColumns count="12">
    <x:tableColumn id="1" name="Job ID"/>
    <x:tableColumn id="2" name="Original Folder / Path"/>
    <x:tableColumn id="3" name="Original Filename"/>
    <x:tableColumn id="4" name="Final Folder / Path"/>
    <x:tableColumn id="5" name="Final Filename"/>
    <x:tableColumn id="6" name="Status"/>
    <x:tableColumn id="7" name="Related File / Pair"/>
    <x:tableColumn id="8" name="Comparison Method"/>
    <x:tableColumn id="9" name="Notes"/>
    <x:tableColumn id="10" name="Customer Decision"/>
    <x:tableColumn id="11" name="Decision Date"/>
    <x:tableColumn id="12" name="Deletion Authorized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spectsTable" displayName="ProspectsTable" ref="A1:L101" headerRowCount="1" totalsRowCount="0" totalsRowShown="0">
  <x:tableColumns count="12">
    <x:tableColumn id="1" name="Prospect ID"/>
    <x:tableColumn id="2" name="Business / Person"/>
    <x:tableColumn id="3" name="Segment"/>
    <x:tableColumn id="4" name="Contact / Website"/>
    <x:tableColumn id="5" name="Why RFR Fit?"/>
    <x:tableColumn id="6" name="Evidence / Source"/>
    <x:tableColumn id="7" name="Status"/>
    <x:tableColumn id="8" name="Outreach Date"/>
    <x:tableColumn id="9" name="Response"/>
    <x:tableColumn id="10" name="Qualified?"/>
    <x:tableColumn id="11" name="Next Step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d06efbfa1e4a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cc155124f74c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7f62c8301b45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f899d72439944c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" t="str">
        <x:v>Lead Status</x:v>
      </x:c>
      <x:c r="B1" s="6" t="str">
        <x:v>YesNo</x:v>
      </x:c>
      <x:c r="C1" s="6" t="str">
        <x:v>Manifest Status</x:v>
      </x:c>
      <x:c r="D1" s="6" t="str">
        <x:v>Customer Decision</x:v>
      </x:c>
      <x:c r="E1" s="6" t="str">
        <x:v>Lead Source</x:v>
      </x:c>
      <x:c r="F1" s="6" t="str">
        <x:v>Segment</x:v>
      </x:c>
    </x:row>
    <x:row r="2">
      <x:c r="A2" t="str">
        <x:v>New</x:v>
      </x:c>
      <x:c r="B2" t="str">
        <x:v>Yes</x:v>
      </x:c>
      <x:c r="C2" t="str">
        <x:v>Unique</x:v>
      </x:c>
      <x:c r="D2" t="str">
        <x:v>Keep Both</x:v>
      </x:c>
      <x:c r="E2" t="str">
        <x:v>Referral</x:v>
      </x:c>
      <x:c r="F2" t="str">
        <x:v>Solo Business</x:v>
      </x:c>
    </x:row>
    <x:row r="3">
      <x:c r="A3" t="str">
        <x:v>Contacted</x:v>
      </x:c>
      <x:c r="B3" t="str">
        <x:v>No</x:v>
      </x:c>
      <x:c r="C3" t="str">
        <x:v>Exact Duplicate Candidate</x:v>
      </x:c>
      <x:c r="D3" t="str">
        <x:v>Keep A</x:v>
      </x:c>
      <x:c r="E3" t="str">
        <x:v>Website</x:v>
      </x:c>
      <x:c r="F3" t="str">
        <x:v>Freelancer/Creative</x:v>
      </x:c>
    </x:row>
    <x:row r="4">
      <x:c r="A4" t="str">
        <x:v>Qualified</x:v>
      </x:c>
      <x:c r="C4" t="str">
        <x:v>Possible Version</x:v>
      </x:c>
      <x:c r="D4" t="str">
        <x:v>Keep B</x:v>
      </x:c>
      <x:c r="E4" t="str">
        <x:v>Direct Outreach</x:v>
      </x:c>
      <x:c r="F4" t="str">
        <x:v>AI-Heavy User</x:v>
      </x:c>
    </x:row>
    <x:row r="5">
      <x:c r="A5" t="str">
        <x:v>Quoted</x:v>
      </x:c>
      <x:c r="C5" t="str">
        <x:v>Needs Review</x:v>
      </x:c>
      <x:c r="D5" t="str">
        <x:v>Authorize Delete A</x:v>
      </x:c>
      <x:c r="E5" t="str">
        <x:v>Repeat Customer</x:v>
      </x:c>
      <x:c r="F5" t="str">
        <x:v>Realtor/Property</x:v>
      </x:c>
    </x:row>
    <x:row r="6">
      <x:c r="A6" t="str">
        <x:v>Won</x:v>
      </x:c>
      <x:c r="C6" t="str">
        <x:v>Deleted by Authorization</x:v>
      </x:c>
      <x:c r="D6" t="str">
        <x:v>Authorize Delete B</x:v>
      </x:c>
      <x:c r="E6" t="str">
        <x:v>Community</x:v>
      </x:c>
      <x:c r="F6" t="str">
        <x:v>Small Agency</x:v>
      </x:c>
    </x:row>
    <x:row r="7">
      <x:c r="A7" t="str">
        <x:v>Lost</x:v>
      </x:c>
      <x:c r="D7" t="str">
        <x:v>Undecided</x:v>
      </x:c>
      <x:c r="E7" t="str">
        <x:v>Other</x:v>
      </x:c>
      <x:c r="F7" t="str">
        <x:v>Individual Backlog</x:v>
      </x:c>
    </x:row>
    <x:row r="8">
      <x:c r="A8" t="str">
        <x:v>Deferred</x:v>
      </x:c>
      <x:c r="D8" t="str">
        <x:v>N/A</x:v>
      </x:c>
      <x:c r="F8" t="str">
        <x:v>Other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18" hidden="0" customWidth="1"/>
    <x:col min="5" max="5" width="36" hidden="0" customWidth="1"/>
    <x:col min="6" max="6" width="14" hidden="0" customWidth="1"/>
    <x:col min="7" max="7" width="18" hidden="0" customWidth="1"/>
    <x:col min="8" max="8" width="10" hidden="0" customWidth="1"/>
    <x:col min="9" max="9" width="11" hidden="0" customWidth="1"/>
    <x:col min="10" max="10" width="22" hidden="0" customWidth="1"/>
    <x:col min="11" max="11" width="24" hidden="0" customWidth="1"/>
    <x:col min="12" max="12" width="14" hidden="0" customWidth="1"/>
    <x:col min="13" max="13" width="16" hidden="0" customWidth="1"/>
    <x:col min="14" max="14" width="16" hidden="0" customWidth="1"/>
    <x:col min="15" max="15" width="12" hidden="0" customWidth="1"/>
    <x:col min="16" max="16" width="14" hidden="0" customWidth="1"/>
    <x:col min="17" max="17" width="14" hidden="0" customWidth="1"/>
    <x:col min="18" max="18" width="16" hidden="0" customWidth="1"/>
    <x:col min="19" max="19" width="16" hidden="0" customWidth="1"/>
    <x:col min="20" max="20" width="18" hidden="0" customWidth="1"/>
    <x:col min="21" max="21" width="18" hidden="0" customWidth="1"/>
    <x:col min="22" max="22" width="12" hidden="0" customWidth="1"/>
    <x:col min="23" max="23" width="12" hidden="0" customWidth="1"/>
    <x:col min="24" max="24" width="14" hidden="0" customWidth="1"/>
    <x:col min="25" max="25" width="32" hidden="0" customWidth="1"/>
  </x:cols>
  <x:sheetData>
    <x:row r="1">
      <x:c r="A1" s="6" t="str">
        <x:v>Lead / Job ID</x:v>
      </x:c>
      <x:c r="B1" s="6" t="str">
        <x:v>Lead Date</x:v>
      </x:c>
      <x:c r="C1" s="6" t="str">
        <x:v>Customer / Business</x:v>
      </x:c>
      <x:c r="D1" s="6" t="str">
        <x:v>Lead Source</x:v>
      </x:c>
      <x:c r="E1" s="6" t="str">
        <x:v>Customer Problem</x:v>
      </x:c>
      <x:c r="F1" s="6" t="str">
        <x:v>Qualification Minutes</x:v>
      </x:c>
      <x:c r="G1" s="6" t="str">
        <x:v>Risk + Solution + Estimate Minutes</x:v>
      </x:c>
      <x:c r="H1" s="6" t="str">
        <x:v>Quoted?</x:v>
      </x:c>
      <x:c r="I1" s="6" t="str">
        <x:v>Outcome</x:v>
      </x:c>
      <x:c r="J1" s="6" t="str">
        <x:v>Reason Lost</x:v>
      </x:c>
      <x:c r="K1" s="6" t="str">
        <x:v>Solution Chosen</x:v>
      </x:c>
      <x:c r="L1" s="6" t="str">
        <x:v>Quote Estimate</x:v>
      </x:c>
      <x:c r="M1" s="6" t="str">
        <x:v>Authorized Ceiling</x:v>
      </x:c>
      <x:c r="N1" s="6" t="str">
        <x:v>Billable Production Hours</x:v>
      </x:c>
      <x:c r="O1" s="6" t="str">
        <x:v>Travel Hours</x:v>
      </x:c>
      <x:c r="P1" s="6" t="str">
        <x:v>Service Revenue</x:v>
      </x:c>
      <x:c r="Q1" s="6" t="str">
        <x:v>Direct Expenses</x:v>
      </x:c>
      <x:c r="R1" s="6" t="str">
        <x:v>Nonbillable Presale Hours</x:v>
      </x:c>
      <x:c r="S1" s="6" t="str">
        <x:v>Total Attributable Hours</x:v>
      </x:c>
      <x:c r="T1" s="6" t="str">
        <x:v>Net Revenue Before General Overhead</x:v>
      </x:c>
      <x:c r="U1" s="6" t="str">
        <x:v>Effective $ / Attributable Hour</x:v>
      </x:c>
      <x:c r="V1" s="6" t="str">
        <x:v>Scope Creep?</x:v>
      </x:c>
      <x:c r="W1" s="6" t="str">
        <x:v>Correction?</x:v>
      </x:c>
      <x:c r="X1" s="6" t="str">
        <x:v>Repeat / Referral?</x:v>
      </x:c>
      <x:c r="Y1" s="6" t="str">
        <x:v>Primary Lesson</x:v>
      </x:c>
    </x:row>
    <x:row r="2">
      <x:c r="A2" s="18"/>
      <x:c r="B2" s="19"/>
      <x:c r="C2" s="18"/>
      <x:c r="D2" s="18"/>
      <x:c r="E2" s="18"/>
      <x:c r="F2" s="18"/>
      <x:c r="G2" s="18"/>
      <x:c r="H2" s="18"/>
      <x:c r="I2" s="18"/>
      <x:c r="J2" s="18"/>
      <x:c r="K2" s="18"/>
      <x:c r="L2" s="20"/>
      <x:c r="M2" s="20"/>
      <x:c r="N2" s="18"/>
      <x:c r="O2" s="18"/>
      <x:c r="P2" s="20"/>
      <x:c r="Q2" s="20"/>
      <x:c r="R2" s="21" t="n">
        <x:f>(F2+G2)/60</x:f>
        <x:v>0</x:v>
      </x:c>
      <x:c r="S2" s="21" t="n">
        <x:f>R2+N2+O2</x:f>
        <x:v>0</x:v>
      </x:c>
      <x:c r="T2" s="20" t="n">
        <x:f>P2-Q2</x:f>
        <x:v>0</x:v>
      </x:c>
      <x:c r="U2" s="20" t="n">
        <x:f>IF(S2&gt;0,T2/S2,0)</x:f>
        <x:v>0</x:v>
      </x:c>
      <x:c r="V2" s="18"/>
      <x:c r="W2" s="18"/>
      <x:c r="X2" s="18"/>
      <x:c r="Y2" s="18"/>
    </x:row>
    <x:row r="3">
      <x:c r="A3" s="18"/>
      <x:c r="B3" s="19"/>
      <x:c r="C3" s="18"/>
      <x:c r="D3" s="18"/>
      <x:c r="E3" s="18"/>
      <x:c r="F3" s="18"/>
      <x:c r="G3" s="18"/>
      <x:c r="H3" s="18"/>
      <x:c r="I3" s="18"/>
      <x:c r="J3" s="18"/>
      <x:c r="K3" s="18"/>
      <x:c r="L3" s="20"/>
      <x:c r="M3" s="20"/>
      <x:c r="N3" s="18"/>
      <x:c r="O3" s="18"/>
      <x:c r="P3" s="20"/>
      <x:c r="Q3" s="20"/>
      <x:c r="R3" s="21" t="n">
        <x:f>(F3+G3)/60</x:f>
        <x:v>0</x:v>
      </x:c>
      <x:c r="S3" s="21" t="n">
        <x:f>R3+N3+O3</x:f>
        <x:v>0</x:v>
      </x:c>
      <x:c r="T3" s="20" t="n">
        <x:f>P3-Q3</x:f>
        <x:v>0</x:v>
      </x:c>
      <x:c r="U3" s="20" t="n">
        <x:f>IF(S3&gt;0,T3/S3,0)</x:f>
        <x:v>0</x:v>
      </x:c>
      <x:c r="V3" s="18"/>
      <x:c r="W3" s="18"/>
      <x:c r="X3" s="18"/>
      <x:c r="Y3" s="18"/>
    </x:row>
    <x:row r="4">
      <x:c r="A4" s="18"/>
      <x:c r="B4" s="19"/>
      <x:c r="C4" s="18"/>
      <x:c r="D4" s="18"/>
      <x:c r="E4" s="18"/>
      <x:c r="F4" s="18"/>
      <x:c r="G4" s="18"/>
      <x:c r="H4" s="18"/>
      <x:c r="I4" s="18"/>
      <x:c r="J4" s="18"/>
      <x:c r="K4" s="18"/>
      <x:c r="L4" s="20"/>
      <x:c r="M4" s="20"/>
      <x:c r="N4" s="18"/>
      <x:c r="O4" s="18"/>
      <x:c r="P4" s="20"/>
      <x:c r="Q4" s="20"/>
      <x:c r="R4" s="21" t="n">
        <x:f>(F4+G4)/60</x:f>
        <x:v>0</x:v>
      </x:c>
      <x:c r="S4" s="21" t="n">
        <x:f>R4+N4+O4</x:f>
        <x:v>0</x:v>
      </x:c>
      <x:c r="T4" s="20" t="n">
        <x:f>P4-Q4</x:f>
        <x:v>0</x:v>
      </x:c>
      <x:c r="U4" s="20" t="n">
        <x:f>IF(S4&gt;0,T4/S4,0)</x:f>
        <x:v>0</x:v>
      </x:c>
      <x:c r="V4" s="18"/>
      <x:c r="W4" s="18"/>
      <x:c r="X4" s="18"/>
      <x:c r="Y4" s="18"/>
    </x:row>
    <x:row r="5">
      <x:c r="A5" s="18"/>
      <x:c r="B5" s="19"/>
      <x:c r="C5" s="18"/>
      <x:c r="D5" s="18"/>
      <x:c r="E5" s="18"/>
      <x:c r="F5" s="18"/>
      <x:c r="G5" s="18"/>
      <x:c r="H5" s="18"/>
      <x:c r="I5" s="18"/>
      <x:c r="J5" s="18"/>
      <x:c r="K5" s="18"/>
      <x:c r="L5" s="20"/>
      <x:c r="M5" s="20"/>
      <x:c r="N5" s="18"/>
      <x:c r="O5" s="18"/>
      <x:c r="P5" s="20"/>
      <x:c r="Q5" s="20"/>
      <x:c r="R5" s="21" t="n">
        <x:f>(F5+G5)/60</x:f>
        <x:v>0</x:v>
      </x:c>
      <x:c r="S5" s="21" t="n">
        <x:f>R5+N5+O5</x:f>
        <x:v>0</x:v>
      </x:c>
      <x:c r="T5" s="20" t="n">
        <x:f>P5-Q5</x:f>
        <x:v>0</x:v>
      </x:c>
      <x:c r="U5" s="20" t="n">
        <x:f>IF(S5&gt;0,T5/S5,0)</x:f>
        <x:v>0</x:v>
      </x:c>
      <x:c r="V5" s="18"/>
      <x:c r="W5" s="18"/>
      <x:c r="X5" s="18"/>
      <x:c r="Y5" s="18"/>
    </x:row>
    <x:row r="6">
      <x:c r="A6" s="18"/>
      <x:c r="B6" s="19"/>
      <x:c r="C6" s="18"/>
      <x:c r="D6" s="18"/>
      <x:c r="E6" s="18"/>
      <x:c r="F6" s="18"/>
      <x:c r="G6" s="18"/>
      <x:c r="H6" s="18"/>
      <x:c r="I6" s="18"/>
      <x:c r="J6" s="18"/>
      <x:c r="K6" s="18"/>
      <x:c r="L6" s="20"/>
      <x:c r="M6" s="20"/>
      <x:c r="N6" s="18"/>
      <x:c r="O6" s="18"/>
      <x:c r="P6" s="20"/>
      <x:c r="Q6" s="20"/>
      <x:c r="R6" s="21" t="n">
        <x:f>(F6+G6)/60</x:f>
        <x:v>0</x:v>
      </x:c>
      <x:c r="S6" s="21" t="n">
        <x:f>R6+N6+O6</x:f>
        <x:v>0</x:v>
      </x:c>
      <x:c r="T6" s="20" t="n">
        <x:f>P6-Q6</x:f>
        <x:v>0</x:v>
      </x:c>
      <x:c r="U6" s="20" t="n">
        <x:f>IF(S6&gt;0,T6/S6,0)</x:f>
        <x:v>0</x:v>
      </x:c>
      <x:c r="V6" s="18"/>
      <x:c r="W6" s="18"/>
      <x:c r="X6" s="18"/>
      <x:c r="Y6" s="18"/>
    </x:row>
    <x:row r="7">
      <x:c r="A7" s="18"/>
      <x:c r="B7" s="19"/>
      <x:c r="C7" s="18"/>
      <x:c r="D7" s="18"/>
      <x:c r="E7" s="18"/>
      <x:c r="F7" s="18"/>
      <x:c r="G7" s="18"/>
      <x:c r="H7" s="18"/>
      <x:c r="I7" s="18"/>
      <x:c r="J7" s="18"/>
      <x:c r="K7" s="18"/>
      <x:c r="L7" s="20"/>
      <x:c r="M7" s="20"/>
      <x:c r="N7" s="18"/>
      <x:c r="O7" s="18"/>
      <x:c r="P7" s="20"/>
      <x:c r="Q7" s="20"/>
      <x:c r="R7" s="21" t="n">
        <x:f>(F7+G7)/60</x:f>
        <x:v>0</x:v>
      </x:c>
      <x:c r="S7" s="21" t="n">
        <x:f>R7+N7+O7</x:f>
        <x:v>0</x:v>
      </x:c>
      <x:c r="T7" s="20" t="n">
        <x:f>P7-Q7</x:f>
        <x:v>0</x:v>
      </x:c>
      <x:c r="U7" s="20" t="n">
        <x:f>IF(S7&gt;0,T7/S7,0)</x:f>
        <x:v>0</x:v>
      </x:c>
      <x:c r="V7" s="18"/>
      <x:c r="W7" s="18"/>
      <x:c r="X7" s="18"/>
      <x:c r="Y7" s="18"/>
    </x:row>
    <x:row r="8">
      <x:c r="A8" s="18"/>
      <x:c r="B8" s="19"/>
      <x:c r="C8" s="18"/>
      <x:c r="D8" s="18"/>
      <x:c r="E8" s="18"/>
      <x:c r="F8" s="18"/>
      <x:c r="G8" s="18"/>
      <x:c r="H8" s="18"/>
      <x:c r="I8" s="18"/>
      <x:c r="J8" s="18"/>
      <x:c r="K8" s="18"/>
      <x:c r="L8" s="20"/>
      <x:c r="M8" s="20"/>
      <x:c r="N8" s="18"/>
      <x:c r="O8" s="18"/>
      <x:c r="P8" s="20"/>
      <x:c r="Q8" s="20"/>
      <x:c r="R8" s="21" t="n">
        <x:f>(F8+G8)/60</x:f>
        <x:v>0</x:v>
      </x:c>
      <x:c r="S8" s="21" t="n">
        <x:f>R8+N8+O8</x:f>
        <x:v>0</x:v>
      </x:c>
      <x:c r="T8" s="20" t="n">
        <x:f>P8-Q8</x:f>
        <x:v>0</x:v>
      </x:c>
      <x:c r="U8" s="20" t="n">
        <x:f>IF(S8&gt;0,T8/S8,0)</x:f>
        <x:v>0</x:v>
      </x:c>
      <x:c r="V8" s="18"/>
      <x:c r="W8" s="18"/>
      <x:c r="X8" s="18"/>
      <x:c r="Y8" s="18"/>
    </x:row>
    <x:row r="9">
      <x:c r="A9" s="18"/>
      <x:c r="B9" s="19"/>
      <x:c r="C9" s="18"/>
      <x:c r="D9" s="18"/>
      <x:c r="E9" s="18"/>
      <x:c r="F9" s="18"/>
      <x:c r="G9" s="18"/>
      <x:c r="H9" s="18"/>
      <x:c r="I9" s="18"/>
      <x:c r="J9" s="18"/>
      <x:c r="K9" s="18"/>
      <x:c r="L9" s="20"/>
      <x:c r="M9" s="20"/>
      <x:c r="N9" s="18"/>
      <x:c r="O9" s="18"/>
      <x:c r="P9" s="20"/>
      <x:c r="Q9" s="20"/>
      <x:c r="R9" s="21" t="n">
        <x:f>(F9+G9)/60</x:f>
        <x:v>0</x:v>
      </x:c>
      <x:c r="S9" s="21" t="n">
        <x:f>R9+N9+O9</x:f>
        <x:v>0</x:v>
      </x:c>
      <x:c r="T9" s="20" t="n">
        <x:f>P9-Q9</x:f>
        <x:v>0</x:v>
      </x:c>
      <x:c r="U9" s="20" t="n">
        <x:f>IF(S9&gt;0,T9/S9,0)</x:f>
        <x:v>0</x:v>
      </x:c>
      <x:c r="V9" s="18"/>
      <x:c r="W9" s="18"/>
      <x:c r="X9" s="18"/>
      <x:c r="Y9" s="18"/>
    </x:row>
    <x:row r="10">
      <x:c r="A10" s="18"/>
      <x:c r="B10" s="19"/>
      <x:c r="C10" s="18"/>
      <x:c r="D10" s="18"/>
      <x:c r="E10" s="18"/>
      <x:c r="F10" s="18"/>
      <x:c r="G10" s="18"/>
      <x:c r="H10" s="18"/>
      <x:c r="I10" s="18"/>
      <x:c r="J10" s="18"/>
      <x:c r="K10" s="18"/>
      <x:c r="L10" s="20"/>
      <x:c r="M10" s="20"/>
      <x:c r="N10" s="18"/>
      <x:c r="O10" s="18"/>
      <x:c r="P10" s="20"/>
      <x:c r="Q10" s="20"/>
      <x:c r="R10" s="21" t="n">
        <x:f>(F10+G10)/60</x:f>
        <x:v>0</x:v>
      </x:c>
      <x:c r="S10" s="21" t="n">
        <x:f>R10+N10+O10</x:f>
        <x:v>0</x:v>
      </x:c>
      <x:c r="T10" s="20" t="n">
        <x:f>P10-Q10</x:f>
        <x:v>0</x:v>
      </x:c>
      <x:c r="U10" s="20" t="n">
        <x:f>IF(S10&gt;0,T10/S10,0)</x:f>
        <x:v>0</x:v>
      </x:c>
      <x:c r="V10" s="18"/>
      <x:c r="W10" s="18"/>
      <x:c r="X10" s="18"/>
      <x:c r="Y10" s="18"/>
    </x:row>
    <x:row r="11">
      <x:c r="A11" s="18"/>
      <x:c r="B11" s="19"/>
      <x:c r="C11" s="18"/>
      <x:c r="D11" s="18"/>
      <x:c r="E11" s="18"/>
      <x:c r="F11" s="18"/>
      <x:c r="G11" s="18"/>
      <x:c r="H11" s="18"/>
      <x:c r="I11" s="18"/>
      <x:c r="J11" s="18"/>
      <x:c r="K11" s="18"/>
      <x:c r="L11" s="20"/>
      <x:c r="M11" s="20"/>
      <x:c r="N11" s="18"/>
      <x:c r="O11" s="18"/>
      <x:c r="P11" s="20"/>
      <x:c r="Q11" s="20"/>
      <x:c r="R11" s="21" t="n">
        <x:f>(F11+G11)/60</x:f>
        <x:v>0</x:v>
      </x:c>
      <x:c r="S11" s="21" t="n">
        <x:f>R11+N11+O11</x:f>
        <x:v>0</x:v>
      </x:c>
      <x:c r="T11" s="20" t="n">
        <x:f>P11-Q11</x:f>
        <x:v>0</x:v>
      </x:c>
      <x:c r="U11" s="20" t="n">
        <x:f>IF(S11&gt;0,T11/S11,0)</x:f>
        <x:v>0</x:v>
      </x:c>
      <x:c r="V11" s="18"/>
      <x:c r="W11" s="18"/>
      <x:c r="X11" s="18"/>
      <x:c r="Y11" s="18"/>
    </x:row>
    <x:row r="12">
      <x:c r="A12" s="18"/>
      <x:c r="B12" s="19"/>
      <x:c r="C12" s="18"/>
      <x:c r="D12" s="18"/>
      <x:c r="E12" s="18"/>
      <x:c r="F12" s="18"/>
      <x:c r="G12" s="18"/>
      <x:c r="H12" s="18"/>
      <x:c r="I12" s="18"/>
      <x:c r="J12" s="18"/>
      <x:c r="K12" s="18"/>
      <x:c r="L12" s="20"/>
      <x:c r="M12" s="20"/>
      <x:c r="N12" s="18"/>
      <x:c r="O12" s="18"/>
      <x:c r="P12" s="20"/>
      <x:c r="Q12" s="20"/>
      <x:c r="R12" s="21" t="n">
        <x:f>(F12+G12)/60</x:f>
        <x:v>0</x:v>
      </x:c>
      <x:c r="S12" s="21" t="n">
        <x:f>R12+N12+O12</x:f>
        <x:v>0</x:v>
      </x:c>
      <x:c r="T12" s="20" t="n">
        <x:f>P12-Q12</x:f>
        <x:v>0</x:v>
      </x:c>
      <x:c r="U12" s="20" t="n">
        <x:f>IF(S12&gt;0,T12/S12,0)</x:f>
        <x:v>0</x:v>
      </x:c>
      <x:c r="V12" s="18"/>
      <x:c r="W12" s="18"/>
      <x:c r="X12" s="18"/>
      <x:c r="Y12" s="18"/>
    </x:row>
    <x:row r="13">
      <x:c r="A13" s="18"/>
      <x:c r="B13" s="19"/>
      <x:c r="C13" s="18"/>
      <x:c r="D13" s="18"/>
      <x:c r="E13" s="18"/>
      <x:c r="F13" s="18"/>
      <x:c r="G13" s="18"/>
      <x:c r="H13" s="18"/>
      <x:c r="I13" s="18"/>
      <x:c r="J13" s="18"/>
      <x:c r="K13" s="18"/>
      <x:c r="L13" s="20"/>
      <x:c r="M13" s="20"/>
      <x:c r="N13" s="18"/>
      <x:c r="O13" s="18"/>
      <x:c r="P13" s="20"/>
      <x:c r="Q13" s="20"/>
      <x:c r="R13" s="21" t="n">
        <x:f>(F13+G13)/60</x:f>
        <x:v>0</x:v>
      </x:c>
      <x:c r="S13" s="21" t="n">
        <x:f>R13+N13+O13</x:f>
        <x:v>0</x:v>
      </x:c>
      <x:c r="T13" s="20" t="n">
        <x:f>P13-Q13</x:f>
        <x:v>0</x:v>
      </x:c>
      <x:c r="U13" s="20" t="n">
        <x:f>IF(S13&gt;0,T13/S13,0)</x:f>
        <x:v>0</x:v>
      </x:c>
      <x:c r="V13" s="18"/>
      <x:c r="W13" s="18"/>
      <x:c r="X13" s="18"/>
      <x:c r="Y13" s="18"/>
    </x:row>
    <x:row r="14">
      <x:c r="A14" s="18"/>
      <x:c r="B14" s="19"/>
      <x:c r="C14" s="18"/>
      <x:c r="D14" s="18"/>
      <x:c r="E14" s="18"/>
      <x:c r="F14" s="18"/>
      <x:c r="G14" s="18"/>
      <x:c r="H14" s="18"/>
      <x:c r="I14" s="18"/>
      <x:c r="J14" s="18"/>
      <x:c r="K14" s="18"/>
      <x:c r="L14" s="20"/>
      <x:c r="M14" s="20"/>
      <x:c r="N14" s="18"/>
      <x:c r="O14" s="18"/>
      <x:c r="P14" s="20"/>
      <x:c r="Q14" s="20"/>
      <x:c r="R14" s="21" t="n">
        <x:f>(F14+G14)/60</x:f>
        <x:v>0</x:v>
      </x:c>
      <x:c r="S14" s="21" t="n">
        <x:f>R14+N14+O14</x:f>
        <x:v>0</x:v>
      </x:c>
      <x:c r="T14" s="20" t="n">
        <x:f>P14-Q14</x:f>
        <x:v>0</x:v>
      </x:c>
      <x:c r="U14" s="20" t="n">
        <x:f>IF(S14&gt;0,T14/S14,0)</x:f>
        <x:v>0</x:v>
      </x:c>
      <x:c r="V14" s="18"/>
      <x:c r="W14" s="18"/>
      <x:c r="X14" s="18"/>
      <x:c r="Y14" s="18"/>
    </x:row>
    <x:row r="15">
      <x:c r="A15" s="18"/>
      <x:c r="B15" s="19"/>
      <x:c r="C15" s="18"/>
      <x:c r="D15" s="18"/>
      <x:c r="E15" s="18"/>
      <x:c r="F15" s="18"/>
      <x:c r="G15" s="18"/>
      <x:c r="H15" s="18"/>
      <x:c r="I15" s="18"/>
      <x:c r="J15" s="18"/>
      <x:c r="K15" s="18"/>
      <x:c r="L15" s="20"/>
      <x:c r="M15" s="20"/>
      <x:c r="N15" s="18"/>
      <x:c r="O15" s="18"/>
      <x:c r="P15" s="20"/>
      <x:c r="Q15" s="20"/>
      <x:c r="R15" s="21" t="n">
        <x:f>(F15+G15)/60</x:f>
        <x:v>0</x:v>
      </x:c>
      <x:c r="S15" s="21" t="n">
        <x:f>R15+N15+O15</x:f>
        <x:v>0</x:v>
      </x:c>
      <x:c r="T15" s="20" t="n">
        <x:f>P15-Q15</x:f>
        <x:v>0</x:v>
      </x:c>
      <x:c r="U15" s="20" t="n">
        <x:f>IF(S15&gt;0,T15/S15,0)</x:f>
        <x:v>0</x:v>
      </x:c>
      <x:c r="V15" s="18"/>
      <x:c r="W15" s="18"/>
      <x:c r="X15" s="18"/>
      <x:c r="Y15" s="18"/>
    </x:row>
    <x:row r="16">
      <x:c r="A16" s="18"/>
      <x:c r="B16" s="19"/>
      <x:c r="C16" s="18"/>
      <x:c r="D16" s="18"/>
      <x:c r="E16" s="18"/>
      <x:c r="F16" s="18"/>
      <x:c r="G16" s="18"/>
      <x:c r="H16" s="18"/>
      <x:c r="I16" s="18"/>
      <x:c r="J16" s="18"/>
      <x:c r="K16" s="18"/>
      <x:c r="L16" s="20"/>
      <x:c r="M16" s="20"/>
      <x:c r="N16" s="18"/>
      <x:c r="O16" s="18"/>
      <x:c r="P16" s="20"/>
      <x:c r="Q16" s="20"/>
      <x:c r="R16" s="21" t="n">
        <x:f>(F16+G16)/60</x:f>
        <x:v>0</x:v>
      </x:c>
      <x:c r="S16" s="21" t="n">
        <x:f>R16+N16+O16</x:f>
        <x:v>0</x:v>
      </x:c>
      <x:c r="T16" s="20" t="n">
        <x:f>P16-Q16</x:f>
        <x:v>0</x:v>
      </x:c>
      <x:c r="U16" s="20" t="n">
        <x:f>IF(S16&gt;0,T16/S16,0)</x:f>
        <x:v>0</x:v>
      </x:c>
      <x:c r="V16" s="18"/>
      <x:c r="W16" s="18"/>
      <x:c r="X16" s="18"/>
      <x:c r="Y16" s="18"/>
    </x:row>
    <x:row r="17">
      <x:c r="A17" s="18"/>
      <x:c r="B17" s="19"/>
      <x:c r="C17" s="18"/>
      <x:c r="D17" s="18"/>
      <x:c r="E17" s="18"/>
      <x:c r="F17" s="18"/>
      <x:c r="G17" s="18"/>
      <x:c r="H17" s="18"/>
      <x:c r="I17" s="18"/>
      <x:c r="J17" s="18"/>
      <x:c r="K17" s="18"/>
      <x:c r="L17" s="20"/>
      <x:c r="M17" s="20"/>
      <x:c r="N17" s="18"/>
      <x:c r="O17" s="18"/>
      <x:c r="P17" s="20"/>
      <x:c r="Q17" s="20"/>
      <x:c r="R17" s="21" t="n">
        <x:f>(F17+G17)/60</x:f>
        <x:v>0</x:v>
      </x:c>
      <x:c r="S17" s="21" t="n">
        <x:f>R17+N17+O17</x:f>
        <x:v>0</x:v>
      </x:c>
      <x:c r="T17" s="20" t="n">
        <x:f>P17-Q17</x:f>
        <x:v>0</x:v>
      </x:c>
      <x:c r="U17" s="20" t="n">
        <x:f>IF(S17&gt;0,T17/S17,0)</x:f>
        <x:v>0</x:v>
      </x:c>
      <x:c r="V17" s="18"/>
      <x:c r="W17" s="18"/>
      <x:c r="X17" s="18"/>
      <x:c r="Y17" s="18"/>
    </x:row>
    <x:row r="18">
      <x:c r="A18" s="18"/>
      <x:c r="B18" s="19"/>
      <x:c r="C18" s="18"/>
      <x:c r="D18" s="18"/>
      <x:c r="E18" s="18"/>
      <x:c r="F18" s="18"/>
      <x:c r="G18" s="18"/>
      <x:c r="H18" s="18"/>
      <x:c r="I18" s="18"/>
      <x:c r="J18" s="18"/>
      <x:c r="K18" s="18"/>
      <x:c r="L18" s="20"/>
      <x:c r="M18" s="20"/>
      <x:c r="N18" s="18"/>
      <x:c r="O18" s="18"/>
      <x:c r="P18" s="20"/>
      <x:c r="Q18" s="20"/>
      <x:c r="R18" s="21" t="n">
        <x:f>(F18+G18)/60</x:f>
        <x:v>0</x:v>
      </x:c>
      <x:c r="S18" s="21" t="n">
        <x:f>R18+N18+O18</x:f>
        <x:v>0</x:v>
      </x:c>
      <x:c r="T18" s="20" t="n">
        <x:f>P18-Q18</x:f>
        <x:v>0</x:v>
      </x:c>
      <x:c r="U18" s="20" t="n">
        <x:f>IF(S18&gt;0,T18/S18,0)</x:f>
        <x:v>0</x:v>
      </x:c>
      <x:c r="V18" s="18"/>
      <x:c r="W18" s="18"/>
      <x:c r="X18" s="18"/>
      <x:c r="Y18" s="18"/>
    </x:row>
    <x:row r="19">
      <x:c r="A19" s="18"/>
      <x:c r="B19" s="19"/>
      <x:c r="C19" s="18"/>
      <x:c r="D19" s="18"/>
      <x:c r="E19" s="18"/>
      <x:c r="F19" s="18"/>
      <x:c r="G19" s="18"/>
      <x:c r="H19" s="18"/>
      <x:c r="I19" s="18"/>
      <x:c r="J19" s="18"/>
      <x:c r="K19" s="18"/>
      <x:c r="L19" s="20"/>
      <x:c r="M19" s="20"/>
      <x:c r="N19" s="18"/>
      <x:c r="O19" s="18"/>
      <x:c r="P19" s="20"/>
      <x:c r="Q19" s="20"/>
      <x:c r="R19" s="21" t="n">
        <x:f>(F19+G19)/60</x:f>
        <x:v>0</x:v>
      </x:c>
      <x:c r="S19" s="21" t="n">
        <x:f>R19+N19+O19</x:f>
        <x:v>0</x:v>
      </x:c>
      <x:c r="T19" s="20" t="n">
        <x:f>P19-Q19</x:f>
        <x:v>0</x:v>
      </x:c>
      <x:c r="U19" s="20" t="n">
        <x:f>IF(S19&gt;0,T19/S19,0)</x:f>
        <x:v>0</x:v>
      </x:c>
      <x:c r="V19" s="18"/>
      <x:c r="W19" s="18"/>
      <x:c r="X19" s="18"/>
      <x:c r="Y19" s="18"/>
    </x:row>
    <x:row r="20">
      <x:c r="A20" s="18"/>
      <x:c r="B20" s="19"/>
      <x:c r="C20" s="18"/>
      <x:c r="D20" s="18"/>
      <x:c r="E20" s="18"/>
      <x:c r="F20" s="18"/>
      <x:c r="G20" s="18"/>
      <x:c r="H20" s="18"/>
      <x:c r="I20" s="18"/>
      <x:c r="J20" s="18"/>
      <x:c r="K20" s="18"/>
      <x:c r="L20" s="20"/>
      <x:c r="M20" s="20"/>
      <x:c r="N20" s="18"/>
      <x:c r="O20" s="18"/>
      <x:c r="P20" s="20"/>
      <x:c r="Q20" s="20"/>
      <x:c r="R20" s="21" t="n">
        <x:f>(F20+G20)/60</x:f>
        <x:v>0</x:v>
      </x:c>
      <x:c r="S20" s="21" t="n">
        <x:f>R20+N20+O20</x:f>
        <x:v>0</x:v>
      </x:c>
      <x:c r="T20" s="20" t="n">
        <x:f>P20-Q20</x:f>
        <x:v>0</x:v>
      </x:c>
      <x:c r="U20" s="20" t="n">
        <x:f>IF(S20&gt;0,T20/S20,0)</x:f>
        <x:v>0</x:v>
      </x:c>
      <x:c r="V20" s="18"/>
      <x:c r="W20" s="18"/>
      <x:c r="X20" s="18"/>
      <x:c r="Y20" s="18"/>
    </x:row>
    <x:row r="21">
      <x:c r="A21" s="18"/>
      <x:c r="B21" s="19"/>
      <x:c r="C21" s="18"/>
      <x:c r="D21" s="18"/>
      <x:c r="E21" s="18"/>
      <x:c r="F21" s="18"/>
      <x:c r="G21" s="18"/>
      <x:c r="H21" s="18"/>
      <x:c r="I21" s="18"/>
      <x:c r="J21" s="18"/>
      <x:c r="K21" s="18"/>
      <x:c r="L21" s="20"/>
      <x:c r="M21" s="20"/>
      <x:c r="N21" s="18"/>
      <x:c r="O21" s="18"/>
      <x:c r="P21" s="20"/>
      <x:c r="Q21" s="20"/>
      <x:c r="R21" s="21" t="n">
        <x:f>(F21+G21)/60</x:f>
        <x:v>0</x:v>
      </x:c>
      <x:c r="S21" s="21" t="n">
        <x:f>R21+N21+O21</x:f>
        <x:v>0</x:v>
      </x:c>
      <x:c r="T21" s="20" t="n">
        <x:f>P21-Q21</x:f>
        <x:v>0</x:v>
      </x:c>
      <x:c r="U21" s="20" t="n">
        <x:f>IF(S21&gt;0,T21/S21,0)</x:f>
        <x:v>0</x:v>
      </x:c>
      <x:c r="V21" s="18"/>
      <x:c r="W21" s="18"/>
      <x:c r="X21" s="18"/>
      <x:c r="Y21" s="18"/>
    </x:row>
    <x:row r="22">
      <x:c r="A22" s="18"/>
      <x:c r="B22" s="19"/>
      <x:c r="C22" s="18"/>
      <x:c r="D22" s="18"/>
      <x:c r="E22" s="18"/>
      <x:c r="F22" s="18"/>
      <x:c r="G22" s="18"/>
      <x:c r="H22" s="18"/>
      <x:c r="I22" s="18"/>
      <x:c r="J22" s="18"/>
      <x:c r="K22" s="18"/>
      <x:c r="L22" s="20"/>
      <x:c r="M22" s="20"/>
      <x:c r="N22" s="18"/>
      <x:c r="O22" s="18"/>
      <x:c r="P22" s="20"/>
      <x:c r="Q22" s="20"/>
      <x:c r="R22" s="21" t="n">
        <x:f>(F22+G22)/60</x:f>
        <x:v>0</x:v>
      </x:c>
      <x:c r="S22" s="21" t="n">
        <x:f>R22+N22+O22</x:f>
        <x:v>0</x:v>
      </x:c>
      <x:c r="T22" s="20" t="n">
        <x:f>P22-Q22</x:f>
        <x:v>0</x:v>
      </x:c>
      <x:c r="U22" s="20" t="n">
        <x:f>IF(S22&gt;0,T22/S22,0)</x:f>
        <x:v>0</x:v>
      </x:c>
      <x:c r="V22" s="18"/>
      <x:c r="W22" s="18"/>
      <x:c r="X22" s="18"/>
      <x:c r="Y22" s="18"/>
    </x:row>
    <x:row r="23">
      <x:c r="A23" s="18"/>
      <x:c r="B23" s="19"/>
      <x:c r="C23" s="18"/>
      <x:c r="D23" s="18"/>
      <x:c r="E23" s="18"/>
      <x:c r="F23" s="18"/>
      <x:c r="G23" s="18"/>
      <x:c r="H23" s="18"/>
      <x:c r="I23" s="18"/>
      <x:c r="J23" s="18"/>
      <x:c r="K23" s="18"/>
      <x:c r="L23" s="20"/>
      <x:c r="M23" s="20"/>
      <x:c r="N23" s="18"/>
      <x:c r="O23" s="18"/>
      <x:c r="P23" s="20"/>
      <x:c r="Q23" s="20"/>
      <x:c r="R23" s="21" t="n">
        <x:f>(F23+G23)/60</x:f>
        <x:v>0</x:v>
      </x:c>
      <x:c r="S23" s="21" t="n">
        <x:f>R23+N23+O23</x:f>
        <x:v>0</x:v>
      </x:c>
      <x:c r="T23" s="20" t="n">
        <x:f>P23-Q23</x:f>
        <x:v>0</x:v>
      </x:c>
      <x:c r="U23" s="20" t="n">
        <x:f>IF(S23&gt;0,T23/S23,0)</x:f>
        <x:v>0</x:v>
      </x:c>
      <x:c r="V23" s="18"/>
      <x:c r="W23" s="18"/>
      <x:c r="X23" s="18"/>
      <x:c r="Y23" s="18"/>
    </x:row>
    <x:row r="24">
      <x:c r="A24" s="18"/>
      <x:c r="B24" s="19"/>
      <x:c r="C24" s="18"/>
      <x:c r="D24" s="18"/>
      <x:c r="E24" s="18"/>
      <x:c r="F24" s="18"/>
      <x:c r="G24" s="18"/>
      <x:c r="H24" s="18"/>
      <x:c r="I24" s="18"/>
      <x:c r="J24" s="18"/>
      <x:c r="K24" s="18"/>
      <x:c r="L24" s="20"/>
      <x:c r="M24" s="20"/>
      <x:c r="N24" s="18"/>
      <x:c r="O24" s="18"/>
      <x:c r="P24" s="20"/>
      <x:c r="Q24" s="20"/>
      <x:c r="R24" s="21" t="n">
        <x:f>(F24+G24)/60</x:f>
        <x:v>0</x:v>
      </x:c>
      <x:c r="S24" s="21" t="n">
        <x:f>R24+N24+O24</x:f>
        <x:v>0</x:v>
      </x:c>
      <x:c r="T24" s="20" t="n">
        <x:f>P24-Q24</x:f>
        <x:v>0</x:v>
      </x:c>
      <x:c r="U24" s="20" t="n">
        <x:f>IF(S24&gt;0,T24/S24,0)</x:f>
        <x:v>0</x:v>
      </x:c>
      <x:c r="V24" s="18"/>
      <x:c r="W24" s="18"/>
      <x:c r="X24" s="18"/>
      <x:c r="Y24" s="18"/>
    </x:row>
    <x:row r="25">
      <x:c r="A25" s="18"/>
      <x:c r="B25" s="19"/>
      <x:c r="C25" s="18"/>
      <x:c r="D25" s="18"/>
      <x:c r="E25" s="18"/>
      <x:c r="F25" s="18"/>
      <x:c r="G25" s="18"/>
      <x:c r="H25" s="18"/>
      <x:c r="I25" s="18"/>
      <x:c r="J25" s="18"/>
      <x:c r="K25" s="18"/>
      <x:c r="L25" s="20"/>
      <x:c r="M25" s="20"/>
      <x:c r="N25" s="18"/>
      <x:c r="O25" s="18"/>
      <x:c r="P25" s="20"/>
      <x:c r="Q25" s="20"/>
      <x:c r="R25" s="21" t="n">
        <x:f>(F25+G25)/60</x:f>
        <x:v>0</x:v>
      </x:c>
      <x:c r="S25" s="21" t="n">
        <x:f>R25+N25+O25</x:f>
        <x:v>0</x:v>
      </x:c>
      <x:c r="T25" s="20" t="n">
        <x:f>P25-Q25</x:f>
        <x:v>0</x:v>
      </x:c>
      <x:c r="U25" s="20" t="n">
        <x:f>IF(S25&gt;0,T25/S25,0)</x:f>
        <x:v>0</x:v>
      </x:c>
      <x:c r="V25" s="18"/>
      <x:c r="W25" s="18"/>
      <x:c r="X25" s="18"/>
      <x:c r="Y25" s="18"/>
    </x:row>
    <x:row r="26">
      <x:c r="A26" s="18"/>
      <x:c r="B26" s="19"/>
      <x:c r="C26" s="18"/>
      <x:c r="D26" s="18"/>
      <x:c r="E26" s="18"/>
      <x:c r="F26" s="18"/>
      <x:c r="G26" s="18"/>
      <x:c r="H26" s="18"/>
      <x:c r="I26" s="18"/>
      <x:c r="J26" s="18"/>
      <x:c r="K26" s="18"/>
      <x:c r="L26" s="20"/>
      <x:c r="M26" s="20"/>
      <x:c r="N26" s="18"/>
      <x:c r="O26" s="18"/>
      <x:c r="P26" s="20"/>
      <x:c r="Q26" s="20"/>
      <x:c r="R26" s="21" t="n">
        <x:f>(F26+G26)/60</x:f>
        <x:v>0</x:v>
      </x:c>
      <x:c r="S26" s="21" t="n">
        <x:f>R26+N26+O26</x:f>
        <x:v>0</x:v>
      </x:c>
      <x:c r="T26" s="20" t="n">
        <x:f>P26-Q26</x:f>
        <x:v>0</x:v>
      </x:c>
      <x:c r="U26" s="20" t="n">
        <x:f>IF(S26&gt;0,T26/S26,0)</x:f>
        <x:v>0</x:v>
      </x:c>
      <x:c r="V26" s="18"/>
      <x:c r="W26" s="18"/>
      <x:c r="X26" s="18"/>
      <x:c r="Y26" s="18"/>
    </x:row>
    <x:row r="27">
      <x:c r="A27" s="18"/>
      <x:c r="B27" s="19"/>
      <x:c r="C27" s="18"/>
      <x:c r="D27" s="18"/>
      <x:c r="E27" s="18"/>
      <x:c r="F27" s="18"/>
      <x:c r="G27" s="18"/>
      <x:c r="H27" s="18"/>
      <x:c r="I27" s="18"/>
      <x:c r="J27" s="18"/>
      <x:c r="K27" s="18"/>
      <x:c r="L27" s="20"/>
      <x:c r="M27" s="20"/>
      <x:c r="N27" s="18"/>
      <x:c r="O27" s="18"/>
      <x:c r="P27" s="20"/>
      <x:c r="Q27" s="20"/>
      <x:c r="R27" s="21" t="n">
        <x:f>(F27+G27)/60</x:f>
        <x:v>0</x:v>
      </x:c>
      <x:c r="S27" s="21" t="n">
        <x:f>R27+N27+O27</x:f>
        <x:v>0</x:v>
      </x:c>
      <x:c r="T27" s="20" t="n">
        <x:f>P27-Q27</x:f>
        <x:v>0</x:v>
      </x:c>
      <x:c r="U27" s="20" t="n">
        <x:f>IF(S27&gt;0,T27/S27,0)</x:f>
        <x:v>0</x:v>
      </x:c>
      <x:c r="V27" s="18"/>
      <x:c r="W27" s="18"/>
      <x:c r="X27" s="18"/>
      <x:c r="Y27" s="18"/>
    </x:row>
    <x:row r="28">
      <x:c r="A28" s="18"/>
      <x:c r="B28" s="19"/>
      <x:c r="C28" s="18"/>
      <x:c r="D28" s="18"/>
      <x:c r="E28" s="18"/>
      <x:c r="F28" s="18"/>
      <x:c r="G28" s="18"/>
      <x:c r="H28" s="18"/>
      <x:c r="I28" s="18"/>
      <x:c r="J28" s="18"/>
      <x:c r="K28" s="18"/>
      <x:c r="L28" s="20"/>
      <x:c r="M28" s="20"/>
      <x:c r="N28" s="18"/>
      <x:c r="O28" s="18"/>
      <x:c r="P28" s="20"/>
      <x:c r="Q28" s="20"/>
      <x:c r="R28" s="21" t="n">
        <x:f>(F28+G28)/60</x:f>
        <x:v>0</x:v>
      </x:c>
      <x:c r="S28" s="21" t="n">
        <x:f>R28+N28+O28</x:f>
        <x:v>0</x:v>
      </x:c>
      <x:c r="T28" s="20" t="n">
        <x:f>P28-Q28</x:f>
        <x:v>0</x:v>
      </x:c>
      <x:c r="U28" s="20" t="n">
        <x:f>IF(S28&gt;0,T28/S28,0)</x:f>
        <x:v>0</x:v>
      </x:c>
      <x:c r="V28" s="18"/>
      <x:c r="W28" s="18"/>
      <x:c r="X28" s="18"/>
      <x:c r="Y28" s="18"/>
    </x:row>
    <x:row r="29">
      <x:c r="A29" s="18"/>
      <x:c r="B29" s="19"/>
      <x:c r="C29" s="18"/>
      <x:c r="D29" s="18"/>
      <x:c r="E29" s="18"/>
      <x:c r="F29" s="18"/>
      <x:c r="G29" s="18"/>
      <x:c r="H29" s="18"/>
      <x:c r="I29" s="18"/>
      <x:c r="J29" s="18"/>
      <x:c r="K29" s="18"/>
      <x:c r="L29" s="20"/>
      <x:c r="M29" s="20"/>
      <x:c r="N29" s="18"/>
      <x:c r="O29" s="18"/>
      <x:c r="P29" s="20"/>
      <x:c r="Q29" s="20"/>
      <x:c r="R29" s="21" t="n">
        <x:f>(F29+G29)/60</x:f>
        <x:v>0</x:v>
      </x:c>
      <x:c r="S29" s="21" t="n">
        <x:f>R29+N29+O29</x:f>
        <x:v>0</x:v>
      </x:c>
      <x:c r="T29" s="20" t="n">
        <x:f>P29-Q29</x:f>
        <x:v>0</x:v>
      </x:c>
      <x:c r="U29" s="20" t="n">
        <x:f>IF(S29&gt;0,T29/S29,0)</x:f>
        <x:v>0</x:v>
      </x:c>
      <x:c r="V29" s="18"/>
      <x:c r="W29" s="18"/>
      <x:c r="X29" s="18"/>
      <x:c r="Y29" s="18"/>
    </x:row>
    <x:row r="30">
      <x:c r="A30" s="18"/>
      <x:c r="B30" s="19"/>
      <x:c r="C30" s="18"/>
      <x:c r="D30" s="18"/>
      <x:c r="E30" s="18"/>
      <x:c r="F30" s="18"/>
      <x:c r="G30" s="18"/>
      <x:c r="H30" s="18"/>
      <x:c r="I30" s="18"/>
      <x:c r="J30" s="18"/>
      <x:c r="K30" s="18"/>
      <x:c r="L30" s="20"/>
      <x:c r="M30" s="20"/>
      <x:c r="N30" s="18"/>
      <x:c r="O30" s="18"/>
      <x:c r="P30" s="20"/>
      <x:c r="Q30" s="20"/>
      <x:c r="R30" s="21" t="n">
        <x:f>(F30+G30)/60</x:f>
        <x:v>0</x:v>
      </x:c>
      <x:c r="S30" s="21" t="n">
        <x:f>R30+N30+O30</x:f>
        <x:v>0</x:v>
      </x:c>
      <x:c r="T30" s="20" t="n">
        <x:f>P30-Q30</x:f>
        <x:v>0</x:v>
      </x:c>
      <x:c r="U30" s="20" t="n">
        <x:f>IF(S30&gt;0,T30/S30,0)</x:f>
        <x:v>0</x:v>
      </x:c>
      <x:c r="V30" s="18"/>
      <x:c r="W30" s="18"/>
      <x:c r="X30" s="18"/>
      <x:c r="Y30" s="18"/>
    </x:row>
    <x:row r="31">
      <x:c r="A31" s="18"/>
      <x:c r="B31" s="19"/>
      <x:c r="C31" s="18"/>
      <x:c r="D31" s="18"/>
      <x:c r="E31" s="18"/>
      <x:c r="F31" s="18"/>
      <x:c r="G31" s="18"/>
      <x:c r="H31" s="18"/>
      <x:c r="I31" s="18"/>
      <x:c r="J31" s="18"/>
      <x:c r="K31" s="18"/>
      <x:c r="L31" s="20"/>
      <x:c r="M31" s="20"/>
      <x:c r="N31" s="18"/>
      <x:c r="O31" s="18"/>
      <x:c r="P31" s="20"/>
      <x:c r="Q31" s="20"/>
      <x:c r="R31" s="21" t="n">
        <x:f>(F31+G31)/60</x:f>
        <x:v>0</x:v>
      </x:c>
      <x:c r="S31" s="21" t="n">
        <x:f>R31+N31+O31</x:f>
        <x:v>0</x:v>
      </x:c>
      <x:c r="T31" s="20" t="n">
        <x:f>P31-Q31</x:f>
        <x:v>0</x:v>
      </x:c>
      <x:c r="U31" s="20" t="n">
        <x:f>IF(S31&gt;0,T31/S31,0)</x:f>
        <x:v>0</x:v>
      </x:c>
      <x:c r="V31" s="18"/>
      <x:c r="W31" s="18"/>
      <x:c r="X31" s="18"/>
      <x:c r="Y31" s="18"/>
    </x:row>
    <x:row r="32">
      <x:c r="A32" s="18"/>
      <x:c r="B32" s="19"/>
      <x:c r="C32" s="18"/>
      <x:c r="D32" s="18"/>
      <x:c r="E32" s="18"/>
      <x:c r="F32" s="18"/>
      <x:c r="G32" s="18"/>
      <x:c r="H32" s="18"/>
      <x:c r="I32" s="18"/>
      <x:c r="J32" s="18"/>
      <x:c r="K32" s="18"/>
      <x:c r="L32" s="20"/>
      <x:c r="M32" s="20"/>
      <x:c r="N32" s="18"/>
      <x:c r="O32" s="18"/>
      <x:c r="P32" s="20"/>
      <x:c r="Q32" s="20"/>
      <x:c r="R32" s="21" t="n">
        <x:f>(F32+G32)/60</x:f>
        <x:v>0</x:v>
      </x:c>
      <x:c r="S32" s="21" t="n">
        <x:f>R32+N32+O32</x:f>
        <x:v>0</x:v>
      </x:c>
      <x:c r="T32" s="20" t="n">
        <x:f>P32-Q32</x:f>
        <x:v>0</x:v>
      </x:c>
      <x:c r="U32" s="20" t="n">
        <x:f>IF(S32&gt;0,T32/S32,0)</x:f>
        <x:v>0</x:v>
      </x:c>
      <x:c r="V32" s="18"/>
      <x:c r="W32" s="18"/>
      <x:c r="X32" s="18"/>
      <x:c r="Y32" s="18"/>
    </x:row>
    <x:row r="33">
      <x:c r="A33" s="18"/>
      <x:c r="B33" s="19"/>
      <x:c r="C33" s="18"/>
      <x:c r="D33" s="18"/>
      <x:c r="E33" s="18"/>
      <x:c r="F33" s="18"/>
      <x:c r="G33" s="18"/>
      <x:c r="H33" s="18"/>
      <x:c r="I33" s="18"/>
      <x:c r="J33" s="18"/>
      <x:c r="K33" s="18"/>
      <x:c r="L33" s="20"/>
      <x:c r="M33" s="20"/>
      <x:c r="N33" s="18"/>
      <x:c r="O33" s="18"/>
      <x:c r="P33" s="20"/>
      <x:c r="Q33" s="20"/>
      <x:c r="R33" s="21" t="n">
        <x:f>(F33+G33)/60</x:f>
        <x:v>0</x:v>
      </x:c>
      <x:c r="S33" s="21" t="n">
        <x:f>R33+N33+O33</x:f>
        <x:v>0</x:v>
      </x:c>
      <x:c r="T33" s="20" t="n">
        <x:f>P33-Q33</x:f>
        <x:v>0</x:v>
      </x:c>
      <x:c r="U33" s="20" t="n">
        <x:f>IF(S33&gt;0,T33/S33,0)</x:f>
        <x:v>0</x:v>
      </x:c>
      <x:c r="V33" s="18"/>
      <x:c r="W33" s="18"/>
      <x:c r="X33" s="18"/>
      <x:c r="Y33" s="18"/>
    </x:row>
    <x:row r="34">
      <x:c r="A34" s="18"/>
      <x:c r="B34" s="19"/>
      <x:c r="C34" s="18"/>
      <x:c r="D34" s="18"/>
      <x:c r="E34" s="18"/>
      <x:c r="F34" s="18"/>
      <x:c r="G34" s="18"/>
      <x:c r="H34" s="18"/>
      <x:c r="I34" s="18"/>
      <x:c r="J34" s="18"/>
      <x:c r="K34" s="18"/>
      <x:c r="L34" s="20"/>
      <x:c r="M34" s="20"/>
      <x:c r="N34" s="18"/>
      <x:c r="O34" s="18"/>
      <x:c r="P34" s="20"/>
      <x:c r="Q34" s="20"/>
      <x:c r="R34" s="21" t="n">
        <x:f>(F34+G34)/60</x:f>
        <x:v>0</x:v>
      </x:c>
      <x:c r="S34" s="21" t="n">
        <x:f>R34+N34+O34</x:f>
        <x:v>0</x:v>
      </x:c>
      <x:c r="T34" s="20" t="n">
        <x:f>P34-Q34</x:f>
        <x:v>0</x:v>
      </x:c>
      <x:c r="U34" s="20" t="n">
        <x:f>IF(S34&gt;0,T34/S34,0)</x:f>
        <x:v>0</x:v>
      </x:c>
      <x:c r="V34" s="18"/>
      <x:c r="W34" s="18"/>
      <x:c r="X34" s="18"/>
      <x:c r="Y34" s="18"/>
    </x:row>
    <x:row r="35">
      <x:c r="A35" s="18"/>
      <x:c r="B35" s="19"/>
      <x:c r="C35" s="18"/>
      <x:c r="D35" s="18"/>
      <x:c r="E35" s="18"/>
      <x:c r="F35" s="18"/>
      <x:c r="G35" s="18"/>
      <x:c r="H35" s="18"/>
      <x:c r="I35" s="18"/>
      <x:c r="J35" s="18"/>
      <x:c r="K35" s="18"/>
      <x:c r="L35" s="20"/>
      <x:c r="M35" s="20"/>
      <x:c r="N35" s="18"/>
      <x:c r="O35" s="18"/>
      <x:c r="P35" s="20"/>
      <x:c r="Q35" s="20"/>
      <x:c r="R35" s="21" t="n">
        <x:f>(F35+G35)/60</x:f>
        <x:v>0</x:v>
      </x:c>
      <x:c r="S35" s="21" t="n">
        <x:f>R35+N35+O35</x:f>
        <x:v>0</x:v>
      </x:c>
      <x:c r="T35" s="20" t="n">
        <x:f>P35-Q35</x:f>
        <x:v>0</x:v>
      </x:c>
      <x:c r="U35" s="20" t="n">
        <x:f>IF(S35&gt;0,T35/S35,0)</x:f>
        <x:v>0</x:v>
      </x:c>
      <x:c r="V35" s="18"/>
      <x:c r="W35" s="18"/>
      <x:c r="X35" s="18"/>
      <x:c r="Y35" s="18"/>
    </x:row>
    <x:row r="36">
      <x:c r="A36" s="18"/>
      <x:c r="B36" s="19"/>
      <x:c r="C36" s="18"/>
      <x:c r="D36" s="18"/>
      <x:c r="E36" s="18"/>
      <x:c r="F36" s="18"/>
      <x:c r="G36" s="18"/>
      <x:c r="H36" s="18"/>
      <x:c r="I36" s="18"/>
      <x:c r="J36" s="18"/>
      <x:c r="K36" s="18"/>
      <x:c r="L36" s="20"/>
      <x:c r="M36" s="20"/>
      <x:c r="N36" s="18"/>
      <x:c r="O36" s="18"/>
      <x:c r="P36" s="20"/>
      <x:c r="Q36" s="20"/>
      <x:c r="R36" s="21" t="n">
        <x:f>(F36+G36)/60</x:f>
        <x:v>0</x:v>
      </x:c>
      <x:c r="S36" s="21" t="n">
        <x:f>R36+N36+O36</x:f>
        <x:v>0</x:v>
      </x:c>
      <x:c r="T36" s="20" t="n">
        <x:f>P36-Q36</x:f>
        <x:v>0</x:v>
      </x:c>
      <x:c r="U36" s="20" t="n">
        <x:f>IF(S36&gt;0,T36/S36,0)</x:f>
        <x:v>0</x:v>
      </x:c>
      <x:c r="V36" s="18"/>
      <x:c r="W36" s="18"/>
      <x:c r="X36" s="18"/>
      <x:c r="Y36" s="18"/>
    </x:row>
    <x:row r="37">
      <x:c r="A37" s="18"/>
      <x:c r="B37" s="19"/>
      <x:c r="C37" s="18"/>
      <x:c r="D37" s="18"/>
      <x:c r="E37" s="18"/>
      <x:c r="F37" s="18"/>
      <x:c r="G37" s="18"/>
      <x:c r="H37" s="18"/>
      <x:c r="I37" s="18"/>
      <x:c r="J37" s="18"/>
      <x:c r="K37" s="18"/>
      <x:c r="L37" s="20"/>
      <x:c r="M37" s="20"/>
      <x:c r="N37" s="18"/>
      <x:c r="O37" s="18"/>
      <x:c r="P37" s="20"/>
      <x:c r="Q37" s="20"/>
      <x:c r="R37" s="21" t="n">
        <x:f>(F37+G37)/60</x:f>
        <x:v>0</x:v>
      </x:c>
      <x:c r="S37" s="21" t="n">
        <x:f>R37+N37+O37</x:f>
        <x:v>0</x:v>
      </x:c>
      <x:c r="T37" s="20" t="n">
        <x:f>P37-Q37</x:f>
        <x:v>0</x:v>
      </x:c>
      <x:c r="U37" s="20" t="n">
        <x:f>IF(S37&gt;0,T37/S37,0)</x:f>
        <x:v>0</x:v>
      </x:c>
      <x:c r="V37" s="18"/>
      <x:c r="W37" s="18"/>
      <x:c r="X37" s="18"/>
      <x:c r="Y37" s="18"/>
    </x:row>
    <x:row r="38">
      <x:c r="A38" s="18"/>
      <x:c r="B38" s="19"/>
      <x:c r="C38" s="18"/>
      <x:c r="D38" s="18"/>
      <x:c r="E38" s="18"/>
      <x:c r="F38" s="18"/>
      <x:c r="G38" s="18"/>
      <x:c r="H38" s="18"/>
      <x:c r="I38" s="18"/>
      <x:c r="J38" s="18"/>
      <x:c r="K38" s="18"/>
      <x:c r="L38" s="20"/>
      <x:c r="M38" s="20"/>
      <x:c r="N38" s="18"/>
      <x:c r="O38" s="18"/>
      <x:c r="P38" s="20"/>
      <x:c r="Q38" s="20"/>
      <x:c r="R38" s="21" t="n">
        <x:f>(F38+G38)/60</x:f>
        <x:v>0</x:v>
      </x:c>
      <x:c r="S38" s="21" t="n">
        <x:f>R38+N38+O38</x:f>
        <x:v>0</x:v>
      </x:c>
      <x:c r="T38" s="20" t="n">
        <x:f>P38-Q38</x:f>
        <x:v>0</x:v>
      </x:c>
      <x:c r="U38" s="20" t="n">
        <x:f>IF(S38&gt;0,T38/S38,0)</x:f>
        <x:v>0</x:v>
      </x:c>
      <x:c r="V38" s="18"/>
      <x:c r="W38" s="18"/>
      <x:c r="X38" s="18"/>
      <x:c r="Y38" s="18"/>
    </x:row>
    <x:row r="39">
      <x:c r="A39" s="18"/>
      <x:c r="B39" s="19"/>
      <x:c r="C39" s="18"/>
      <x:c r="D39" s="18"/>
      <x:c r="E39" s="18"/>
      <x:c r="F39" s="18"/>
      <x:c r="G39" s="18"/>
      <x:c r="H39" s="18"/>
      <x:c r="I39" s="18"/>
      <x:c r="J39" s="18"/>
      <x:c r="K39" s="18"/>
      <x:c r="L39" s="20"/>
      <x:c r="M39" s="20"/>
      <x:c r="N39" s="18"/>
      <x:c r="O39" s="18"/>
      <x:c r="P39" s="20"/>
      <x:c r="Q39" s="20"/>
      <x:c r="R39" s="21" t="n">
        <x:f>(F39+G39)/60</x:f>
        <x:v>0</x:v>
      </x:c>
      <x:c r="S39" s="21" t="n">
        <x:f>R39+N39+O39</x:f>
        <x:v>0</x:v>
      </x:c>
      <x:c r="T39" s="20" t="n">
        <x:f>P39-Q39</x:f>
        <x:v>0</x:v>
      </x:c>
      <x:c r="U39" s="20" t="n">
        <x:f>IF(S39&gt;0,T39/S39,0)</x:f>
        <x:v>0</x:v>
      </x:c>
      <x:c r="V39" s="18"/>
      <x:c r="W39" s="18"/>
      <x:c r="X39" s="18"/>
      <x:c r="Y39" s="18"/>
    </x:row>
    <x:row r="40">
      <x:c r="A40" s="18"/>
      <x:c r="B40" s="19"/>
      <x:c r="C40" s="18"/>
      <x:c r="D40" s="18"/>
      <x:c r="E40" s="18"/>
      <x:c r="F40" s="18"/>
      <x:c r="G40" s="18"/>
      <x:c r="H40" s="18"/>
      <x:c r="I40" s="18"/>
      <x:c r="J40" s="18"/>
      <x:c r="K40" s="18"/>
      <x:c r="L40" s="20"/>
      <x:c r="M40" s="20"/>
      <x:c r="N40" s="18"/>
      <x:c r="O40" s="18"/>
      <x:c r="P40" s="20"/>
      <x:c r="Q40" s="20"/>
      <x:c r="R40" s="21" t="n">
        <x:f>(F40+G40)/60</x:f>
        <x:v>0</x:v>
      </x:c>
      <x:c r="S40" s="21" t="n">
        <x:f>R40+N40+O40</x:f>
        <x:v>0</x:v>
      </x:c>
      <x:c r="T40" s="20" t="n">
        <x:f>P40-Q40</x:f>
        <x:v>0</x:v>
      </x:c>
      <x:c r="U40" s="20" t="n">
        <x:f>IF(S40&gt;0,T40/S40,0)</x:f>
        <x:v>0</x:v>
      </x:c>
      <x:c r="V40" s="18"/>
      <x:c r="W40" s="18"/>
      <x:c r="X40" s="18"/>
      <x:c r="Y40" s="18"/>
    </x:row>
    <x:row r="41">
      <x:c r="A41" s="18"/>
      <x:c r="B41" s="19"/>
      <x:c r="C41" s="18"/>
      <x:c r="D41" s="18"/>
      <x:c r="E41" s="18"/>
      <x:c r="F41" s="18"/>
      <x:c r="G41" s="18"/>
      <x:c r="H41" s="18"/>
      <x:c r="I41" s="18"/>
      <x:c r="J41" s="18"/>
      <x:c r="K41" s="18"/>
      <x:c r="L41" s="20"/>
      <x:c r="M41" s="20"/>
      <x:c r="N41" s="18"/>
      <x:c r="O41" s="18"/>
      <x:c r="P41" s="20"/>
      <x:c r="Q41" s="20"/>
      <x:c r="R41" s="21" t="n">
        <x:f>(F41+G41)/60</x:f>
        <x:v>0</x:v>
      </x:c>
      <x:c r="S41" s="21" t="n">
        <x:f>R41+N41+O41</x:f>
        <x:v>0</x:v>
      </x:c>
      <x:c r="T41" s="20" t="n">
        <x:f>P41-Q41</x:f>
        <x:v>0</x:v>
      </x:c>
      <x:c r="U41" s="20" t="n">
        <x:f>IF(S41&gt;0,T41/S41,0)</x:f>
        <x:v>0</x:v>
      </x:c>
      <x:c r="V41" s="18"/>
      <x:c r="W41" s="18"/>
      <x:c r="X41" s="18"/>
      <x:c r="Y41" s="18"/>
    </x:row>
    <x:row r="42">
      <x:c r="A42" s="18"/>
      <x:c r="B42" s="19"/>
      <x:c r="C42" s="18"/>
      <x:c r="D42" s="18"/>
      <x:c r="E42" s="18"/>
      <x:c r="F42" s="18"/>
      <x:c r="G42" s="18"/>
      <x:c r="H42" s="18"/>
      <x:c r="I42" s="18"/>
      <x:c r="J42" s="18"/>
      <x:c r="K42" s="18"/>
      <x:c r="L42" s="20"/>
      <x:c r="M42" s="20"/>
      <x:c r="N42" s="18"/>
      <x:c r="O42" s="18"/>
      <x:c r="P42" s="20"/>
      <x:c r="Q42" s="20"/>
      <x:c r="R42" s="21" t="n">
        <x:f>(F42+G42)/60</x:f>
        <x:v>0</x:v>
      </x:c>
      <x:c r="S42" s="21" t="n">
        <x:f>R42+N42+O42</x:f>
        <x:v>0</x:v>
      </x:c>
      <x:c r="T42" s="20" t="n">
        <x:f>P42-Q42</x:f>
        <x:v>0</x:v>
      </x:c>
      <x:c r="U42" s="20" t="n">
        <x:f>IF(S42&gt;0,T42/S42,0)</x:f>
        <x:v>0</x:v>
      </x:c>
      <x:c r="V42" s="18"/>
      <x:c r="W42" s="18"/>
      <x:c r="X42" s="18"/>
      <x:c r="Y42" s="18"/>
    </x:row>
    <x:row r="43">
      <x:c r="A43" s="18"/>
      <x:c r="B43" s="19"/>
      <x:c r="C43" s="18"/>
      <x:c r="D43" s="18"/>
      <x:c r="E43" s="18"/>
      <x:c r="F43" s="18"/>
      <x:c r="G43" s="18"/>
      <x:c r="H43" s="18"/>
      <x:c r="I43" s="18"/>
      <x:c r="J43" s="18"/>
      <x:c r="K43" s="18"/>
      <x:c r="L43" s="20"/>
      <x:c r="M43" s="20"/>
      <x:c r="N43" s="18"/>
      <x:c r="O43" s="18"/>
      <x:c r="P43" s="20"/>
      <x:c r="Q43" s="20"/>
      <x:c r="R43" s="21" t="n">
        <x:f>(F43+G43)/60</x:f>
        <x:v>0</x:v>
      </x:c>
      <x:c r="S43" s="21" t="n">
        <x:f>R43+N43+O43</x:f>
        <x:v>0</x:v>
      </x:c>
      <x:c r="T43" s="20" t="n">
        <x:f>P43-Q43</x:f>
        <x:v>0</x:v>
      </x:c>
      <x:c r="U43" s="20" t="n">
        <x:f>IF(S43&gt;0,T43/S43,0)</x:f>
        <x:v>0</x:v>
      </x:c>
      <x:c r="V43" s="18"/>
      <x:c r="W43" s="18"/>
      <x:c r="X43" s="18"/>
      <x:c r="Y43" s="18"/>
    </x:row>
    <x:row r="44">
      <x:c r="A44" s="18"/>
      <x:c r="B44" s="19"/>
      <x:c r="C44" s="18"/>
      <x:c r="D44" s="18"/>
      <x:c r="E44" s="18"/>
      <x:c r="F44" s="18"/>
      <x:c r="G44" s="18"/>
      <x:c r="H44" s="18"/>
      <x:c r="I44" s="18"/>
      <x:c r="J44" s="18"/>
      <x:c r="K44" s="18"/>
      <x:c r="L44" s="20"/>
      <x:c r="M44" s="20"/>
      <x:c r="N44" s="18"/>
      <x:c r="O44" s="18"/>
      <x:c r="P44" s="20"/>
      <x:c r="Q44" s="20"/>
      <x:c r="R44" s="21" t="n">
        <x:f>(F44+G44)/60</x:f>
        <x:v>0</x:v>
      </x:c>
      <x:c r="S44" s="21" t="n">
        <x:f>R44+N44+O44</x:f>
        <x:v>0</x:v>
      </x:c>
      <x:c r="T44" s="20" t="n">
        <x:f>P44-Q44</x:f>
        <x:v>0</x:v>
      </x:c>
      <x:c r="U44" s="20" t="n">
        <x:f>IF(S44&gt;0,T44/S44,0)</x:f>
        <x:v>0</x:v>
      </x:c>
      <x:c r="V44" s="18"/>
      <x:c r="W44" s="18"/>
      <x:c r="X44" s="18"/>
      <x:c r="Y44" s="18"/>
    </x:row>
    <x:row r="45">
      <x:c r="A45" s="18"/>
      <x:c r="B45" s="19"/>
      <x:c r="C45" s="18"/>
      <x:c r="D45" s="18"/>
      <x:c r="E45" s="18"/>
      <x:c r="F45" s="18"/>
      <x:c r="G45" s="18"/>
      <x:c r="H45" s="18"/>
      <x:c r="I45" s="18"/>
      <x:c r="J45" s="18"/>
      <x:c r="K45" s="18"/>
      <x:c r="L45" s="20"/>
      <x:c r="M45" s="20"/>
      <x:c r="N45" s="18"/>
      <x:c r="O45" s="18"/>
      <x:c r="P45" s="20"/>
      <x:c r="Q45" s="20"/>
      <x:c r="R45" s="21" t="n">
        <x:f>(F45+G45)/60</x:f>
        <x:v>0</x:v>
      </x:c>
      <x:c r="S45" s="21" t="n">
        <x:f>R45+N45+O45</x:f>
        <x:v>0</x:v>
      </x:c>
      <x:c r="T45" s="20" t="n">
        <x:f>P45-Q45</x:f>
        <x:v>0</x:v>
      </x:c>
      <x:c r="U45" s="20" t="n">
        <x:f>IF(S45&gt;0,T45/S45,0)</x:f>
        <x:v>0</x:v>
      </x:c>
      <x:c r="V45" s="18"/>
      <x:c r="W45" s="18"/>
      <x:c r="X45" s="18"/>
      <x:c r="Y45" s="18"/>
    </x:row>
    <x:row r="46">
      <x:c r="A46" s="18"/>
      <x:c r="B46" s="19"/>
      <x:c r="C46" s="18"/>
      <x:c r="D46" s="18"/>
      <x:c r="E46" s="18"/>
      <x:c r="F46" s="18"/>
      <x:c r="G46" s="18"/>
      <x:c r="H46" s="18"/>
      <x:c r="I46" s="18"/>
      <x:c r="J46" s="18"/>
      <x:c r="K46" s="18"/>
      <x:c r="L46" s="20"/>
      <x:c r="M46" s="20"/>
      <x:c r="N46" s="18"/>
      <x:c r="O46" s="18"/>
      <x:c r="P46" s="20"/>
      <x:c r="Q46" s="20"/>
      <x:c r="R46" s="21" t="n">
        <x:f>(F46+G46)/60</x:f>
        <x:v>0</x:v>
      </x:c>
      <x:c r="S46" s="21" t="n">
        <x:f>R46+N46+O46</x:f>
        <x:v>0</x:v>
      </x:c>
      <x:c r="T46" s="20" t="n">
        <x:f>P46-Q46</x:f>
        <x:v>0</x:v>
      </x:c>
      <x:c r="U46" s="20" t="n">
        <x:f>IF(S46&gt;0,T46/S46,0)</x:f>
        <x:v>0</x:v>
      </x:c>
      <x:c r="V46" s="18"/>
      <x:c r="W46" s="18"/>
      <x:c r="X46" s="18"/>
      <x:c r="Y46" s="18"/>
    </x:row>
    <x:row r="47">
      <x:c r="A47" s="18"/>
      <x:c r="B47" s="19"/>
      <x:c r="C47" s="18"/>
      <x:c r="D47" s="18"/>
      <x:c r="E47" s="18"/>
      <x:c r="F47" s="18"/>
      <x:c r="G47" s="18"/>
      <x:c r="H47" s="18"/>
      <x:c r="I47" s="18"/>
      <x:c r="J47" s="18"/>
      <x:c r="K47" s="18"/>
      <x:c r="L47" s="20"/>
      <x:c r="M47" s="20"/>
      <x:c r="N47" s="18"/>
      <x:c r="O47" s="18"/>
      <x:c r="P47" s="20"/>
      <x:c r="Q47" s="20"/>
      <x:c r="R47" s="21" t="n">
        <x:f>(F47+G47)/60</x:f>
        <x:v>0</x:v>
      </x:c>
      <x:c r="S47" s="21" t="n">
        <x:f>R47+N47+O47</x:f>
        <x:v>0</x:v>
      </x:c>
      <x:c r="T47" s="20" t="n">
        <x:f>P47-Q47</x:f>
        <x:v>0</x:v>
      </x:c>
      <x:c r="U47" s="20" t="n">
        <x:f>IF(S47&gt;0,T47/S47,0)</x:f>
        <x:v>0</x:v>
      </x:c>
      <x:c r="V47" s="18"/>
      <x:c r="W47" s="18"/>
      <x:c r="X47" s="18"/>
      <x:c r="Y47" s="18"/>
    </x:row>
    <x:row r="48">
      <x:c r="A48" s="18"/>
      <x:c r="B48" s="19"/>
      <x:c r="C48" s="18"/>
      <x:c r="D48" s="18"/>
      <x:c r="E48" s="18"/>
      <x:c r="F48" s="18"/>
      <x:c r="G48" s="18"/>
      <x:c r="H48" s="18"/>
      <x:c r="I48" s="18"/>
      <x:c r="J48" s="18"/>
      <x:c r="K48" s="18"/>
      <x:c r="L48" s="20"/>
      <x:c r="M48" s="20"/>
      <x:c r="N48" s="18"/>
      <x:c r="O48" s="18"/>
      <x:c r="P48" s="20"/>
      <x:c r="Q48" s="20"/>
      <x:c r="R48" s="21" t="n">
        <x:f>(F48+G48)/60</x:f>
        <x:v>0</x:v>
      </x:c>
      <x:c r="S48" s="21" t="n">
        <x:f>R48+N48+O48</x:f>
        <x:v>0</x:v>
      </x:c>
      <x:c r="T48" s="20" t="n">
        <x:f>P48-Q48</x:f>
        <x:v>0</x:v>
      </x:c>
      <x:c r="U48" s="20" t="n">
        <x:f>IF(S48&gt;0,T48/S48,0)</x:f>
        <x:v>0</x:v>
      </x:c>
      <x:c r="V48" s="18"/>
      <x:c r="W48" s="18"/>
      <x:c r="X48" s="18"/>
      <x:c r="Y48" s="18"/>
    </x:row>
    <x:row r="49">
      <x:c r="A49" s="18"/>
      <x:c r="B49" s="19"/>
      <x:c r="C49" s="18"/>
      <x:c r="D49" s="18"/>
      <x:c r="E49" s="18"/>
      <x:c r="F49" s="18"/>
      <x:c r="G49" s="18"/>
      <x:c r="H49" s="18"/>
      <x:c r="I49" s="18"/>
      <x:c r="J49" s="18"/>
      <x:c r="K49" s="18"/>
      <x:c r="L49" s="20"/>
      <x:c r="M49" s="20"/>
      <x:c r="N49" s="18"/>
      <x:c r="O49" s="18"/>
      <x:c r="P49" s="20"/>
      <x:c r="Q49" s="20"/>
      <x:c r="R49" s="21" t="n">
        <x:f>(F49+G49)/60</x:f>
        <x:v>0</x:v>
      </x:c>
      <x:c r="S49" s="21" t="n">
        <x:f>R49+N49+O49</x:f>
        <x:v>0</x:v>
      </x:c>
      <x:c r="T49" s="20" t="n">
        <x:f>P49-Q49</x:f>
        <x:v>0</x:v>
      </x:c>
      <x:c r="U49" s="20" t="n">
        <x:f>IF(S49&gt;0,T49/S49,0)</x:f>
        <x:v>0</x:v>
      </x:c>
      <x:c r="V49" s="18"/>
      <x:c r="W49" s="18"/>
      <x:c r="X49" s="18"/>
      <x:c r="Y49" s="18"/>
    </x:row>
    <x:row r="50">
      <x:c r="A50" s="18"/>
      <x:c r="B50" s="19"/>
      <x:c r="C50" s="18"/>
      <x:c r="D50" s="18"/>
      <x:c r="E50" s="18"/>
      <x:c r="F50" s="18"/>
      <x:c r="G50" s="18"/>
      <x:c r="H50" s="18"/>
      <x:c r="I50" s="18"/>
      <x:c r="J50" s="18"/>
      <x:c r="K50" s="18"/>
      <x:c r="L50" s="20"/>
      <x:c r="M50" s="20"/>
      <x:c r="N50" s="18"/>
      <x:c r="O50" s="18"/>
      <x:c r="P50" s="20"/>
      <x:c r="Q50" s="20"/>
      <x:c r="R50" s="21" t="n">
        <x:f>(F50+G50)/60</x:f>
        <x:v>0</x:v>
      </x:c>
      <x:c r="S50" s="21" t="n">
        <x:f>R50+N50+O50</x:f>
        <x:v>0</x:v>
      </x:c>
      <x:c r="T50" s="20" t="n">
        <x:f>P50-Q50</x:f>
        <x:v>0</x:v>
      </x:c>
      <x:c r="U50" s="20" t="n">
        <x:f>IF(S50&gt;0,T50/S50,0)</x:f>
        <x:v>0</x:v>
      </x:c>
      <x:c r="V50" s="18"/>
      <x:c r="W50" s="18"/>
      <x:c r="X50" s="18"/>
      <x:c r="Y50" s="18"/>
    </x:row>
    <x:row r="51">
      <x:c r="A51" s="18"/>
      <x:c r="B51" s="19"/>
      <x:c r="C51" s="18"/>
      <x:c r="D51" s="18"/>
      <x:c r="E51" s="18"/>
      <x:c r="F51" s="18"/>
      <x:c r="G51" s="18"/>
      <x:c r="H51" s="18"/>
      <x:c r="I51" s="18"/>
      <x:c r="J51" s="18"/>
      <x:c r="K51" s="18"/>
      <x:c r="L51" s="20"/>
      <x:c r="M51" s="20"/>
      <x:c r="N51" s="18"/>
      <x:c r="O51" s="18"/>
      <x:c r="P51" s="20"/>
      <x:c r="Q51" s="20"/>
      <x:c r="R51" s="21" t="n">
        <x:f>(F51+G51)/60</x:f>
        <x:v>0</x:v>
      </x:c>
      <x:c r="S51" s="21" t="n">
        <x:f>R51+N51+O51</x:f>
        <x:v>0</x:v>
      </x:c>
      <x:c r="T51" s="20" t="n">
        <x:f>P51-Q51</x:f>
        <x:v>0</x:v>
      </x:c>
      <x:c r="U51" s="20" t="n">
        <x:f>IF(S51&gt;0,T51/S51,0)</x:f>
        <x:v>0</x:v>
      </x:c>
      <x:c r="V51" s="18"/>
      <x:c r="W51" s="18"/>
      <x:c r="X51" s="18"/>
      <x:c r="Y51" s="18"/>
    </x:row>
    <x:row r="52">
      <x:c r="A52" s="18"/>
      <x:c r="B52" s="19"/>
      <x:c r="C52" s="18"/>
      <x:c r="D52" s="18"/>
      <x:c r="E52" s="18"/>
      <x:c r="F52" s="18"/>
      <x:c r="G52" s="18"/>
      <x:c r="H52" s="18"/>
      <x:c r="I52" s="18"/>
      <x:c r="J52" s="18"/>
      <x:c r="K52" s="18"/>
      <x:c r="L52" s="20"/>
      <x:c r="M52" s="20"/>
      <x:c r="N52" s="18"/>
      <x:c r="O52" s="18"/>
      <x:c r="P52" s="20"/>
      <x:c r="Q52" s="20"/>
      <x:c r="R52" s="21" t="n">
        <x:f>(F52+G52)/60</x:f>
        <x:v>0</x:v>
      </x:c>
      <x:c r="S52" s="21" t="n">
        <x:f>R52+N52+O52</x:f>
        <x:v>0</x:v>
      </x:c>
      <x:c r="T52" s="20" t="n">
        <x:f>P52-Q52</x:f>
        <x:v>0</x:v>
      </x:c>
      <x:c r="U52" s="20" t="n">
        <x:f>IF(S52&gt;0,T52/S52,0)</x:f>
        <x:v>0</x:v>
      </x:c>
      <x:c r="V52" s="18"/>
      <x:c r="W52" s="18"/>
      <x:c r="X52" s="18"/>
      <x:c r="Y52" s="18"/>
    </x:row>
    <x:row r="53">
      <x:c r="A53" s="18"/>
      <x:c r="B53" s="19"/>
      <x:c r="C53" s="18"/>
      <x:c r="D53" s="18"/>
      <x:c r="E53" s="18"/>
      <x:c r="F53" s="18"/>
      <x:c r="G53" s="18"/>
      <x:c r="H53" s="18"/>
      <x:c r="I53" s="18"/>
      <x:c r="J53" s="18"/>
      <x:c r="K53" s="18"/>
      <x:c r="L53" s="20"/>
      <x:c r="M53" s="20"/>
      <x:c r="N53" s="18"/>
      <x:c r="O53" s="18"/>
      <x:c r="P53" s="20"/>
      <x:c r="Q53" s="20"/>
      <x:c r="R53" s="21" t="n">
        <x:f>(F53+G53)/60</x:f>
        <x:v>0</x:v>
      </x:c>
      <x:c r="S53" s="21" t="n">
        <x:f>R53+N53+O53</x:f>
        <x:v>0</x:v>
      </x:c>
      <x:c r="T53" s="20" t="n">
        <x:f>P53-Q53</x:f>
        <x:v>0</x:v>
      </x:c>
      <x:c r="U53" s="20" t="n">
        <x:f>IF(S53&gt;0,T53/S53,0)</x:f>
        <x:v>0</x:v>
      </x:c>
      <x:c r="V53" s="18"/>
      <x:c r="W53" s="18"/>
      <x:c r="X53" s="18"/>
      <x:c r="Y53" s="18"/>
    </x:row>
    <x:row r="54">
      <x:c r="A54" s="18"/>
      <x:c r="B54" s="19"/>
      <x:c r="C54" s="18"/>
      <x:c r="D54" s="18"/>
      <x:c r="E54" s="18"/>
      <x:c r="F54" s="18"/>
      <x:c r="G54" s="18"/>
      <x:c r="H54" s="18"/>
      <x:c r="I54" s="18"/>
      <x:c r="J54" s="18"/>
      <x:c r="K54" s="18"/>
      <x:c r="L54" s="20"/>
      <x:c r="M54" s="20"/>
      <x:c r="N54" s="18"/>
      <x:c r="O54" s="18"/>
      <x:c r="P54" s="20"/>
      <x:c r="Q54" s="20"/>
      <x:c r="R54" s="21" t="n">
        <x:f>(F54+G54)/60</x:f>
        <x:v>0</x:v>
      </x:c>
      <x:c r="S54" s="21" t="n">
        <x:f>R54+N54+O54</x:f>
        <x:v>0</x:v>
      </x:c>
      <x:c r="T54" s="20" t="n">
        <x:f>P54-Q54</x:f>
        <x:v>0</x:v>
      </x:c>
      <x:c r="U54" s="20" t="n">
        <x:f>IF(S54&gt;0,T54/S54,0)</x:f>
        <x:v>0</x:v>
      </x:c>
      <x:c r="V54" s="18"/>
      <x:c r="W54" s="18"/>
      <x:c r="X54" s="18"/>
      <x:c r="Y54" s="18"/>
    </x:row>
    <x:row r="55">
      <x:c r="A55" s="18"/>
      <x:c r="B55" s="19"/>
      <x:c r="C55" s="18"/>
      <x:c r="D55" s="18"/>
      <x:c r="E55" s="18"/>
      <x:c r="F55" s="18"/>
      <x:c r="G55" s="18"/>
      <x:c r="H55" s="18"/>
      <x:c r="I55" s="18"/>
      <x:c r="J55" s="18"/>
      <x:c r="K55" s="18"/>
      <x:c r="L55" s="20"/>
      <x:c r="M55" s="20"/>
      <x:c r="N55" s="18"/>
      <x:c r="O55" s="18"/>
      <x:c r="P55" s="20"/>
      <x:c r="Q55" s="20"/>
      <x:c r="R55" s="21" t="n">
        <x:f>(F55+G55)/60</x:f>
        <x:v>0</x:v>
      </x:c>
      <x:c r="S55" s="21" t="n">
        <x:f>R55+N55+O55</x:f>
        <x:v>0</x:v>
      </x:c>
      <x:c r="T55" s="20" t="n">
        <x:f>P55-Q55</x:f>
        <x:v>0</x:v>
      </x:c>
      <x:c r="U55" s="20" t="n">
        <x:f>IF(S55&gt;0,T55/S55,0)</x:f>
        <x:v>0</x:v>
      </x:c>
      <x:c r="V55" s="18"/>
      <x:c r="W55" s="18"/>
      <x:c r="X55" s="18"/>
      <x:c r="Y55" s="18"/>
    </x:row>
    <x:row r="56">
      <x:c r="A56" s="18"/>
      <x:c r="B56" s="19"/>
      <x:c r="C56" s="18"/>
      <x:c r="D56" s="18"/>
      <x:c r="E56" s="18"/>
      <x:c r="F56" s="18"/>
      <x:c r="G56" s="18"/>
      <x:c r="H56" s="18"/>
      <x:c r="I56" s="18"/>
      <x:c r="J56" s="18"/>
      <x:c r="K56" s="18"/>
      <x:c r="L56" s="20"/>
      <x:c r="M56" s="20"/>
      <x:c r="N56" s="18"/>
      <x:c r="O56" s="18"/>
      <x:c r="P56" s="20"/>
      <x:c r="Q56" s="20"/>
      <x:c r="R56" s="21" t="n">
        <x:f>(F56+G56)/60</x:f>
        <x:v>0</x:v>
      </x:c>
      <x:c r="S56" s="21" t="n">
        <x:f>R56+N56+O56</x:f>
        <x:v>0</x:v>
      </x:c>
      <x:c r="T56" s="20" t="n">
        <x:f>P56-Q56</x:f>
        <x:v>0</x:v>
      </x:c>
      <x:c r="U56" s="20" t="n">
        <x:f>IF(S56&gt;0,T56/S56,0)</x:f>
        <x:v>0</x:v>
      </x:c>
      <x:c r="V56" s="18"/>
      <x:c r="W56" s="18"/>
      <x:c r="X56" s="18"/>
      <x:c r="Y56" s="18"/>
    </x:row>
    <x:row r="57">
      <x:c r="A57" s="18"/>
      <x:c r="B57" s="19"/>
      <x:c r="C57" s="18"/>
      <x:c r="D57" s="18"/>
      <x:c r="E57" s="18"/>
      <x:c r="F57" s="18"/>
      <x:c r="G57" s="18"/>
      <x:c r="H57" s="18"/>
      <x:c r="I57" s="18"/>
      <x:c r="J57" s="18"/>
      <x:c r="K57" s="18"/>
      <x:c r="L57" s="20"/>
      <x:c r="M57" s="20"/>
      <x:c r="N57" s="18"/>
      <x:c r="O57" s="18"/>
      <x:c r="P57" s="20"/>
      <x:c r="Q57" s="20"/>
      <x:c r="R57" s="21" t="n">
        <x:f>(F57+G57)/60</x:f>
        <x:v>0</x:v>
      </x:c>
      <x:c r="S57" s="21" t="n">
        <x:f>R57+N57+O57</x:f>
        <x:v>0</x:v>
      </x:c>
      <x:c r="T57" s="20" t="n">
        <x:f>P57-Q57</x:f>
        <x:v>0</x:v>
      </x:c>
      <x:c r="U57" s="20" t="n">
        <x:f>IF(S57&gt;0,T57/S57,0)</x:f>
        <x:v>0</x:v>
      </x:c>
      <x:c r="V57" s="18"/>
      <x:c r="W57" s="18"/>
      <x:c r="X57" s="18"/>
      <x:c r="Y57" s="18"/>
    </x:row>
    <x:row r="58">
      <x:c r="A58" s="18"/>
      <x:c r="B58" s="19"/>
      <x:c r="C58" s="18"/>
      <x:c r="D58" s="18"/>
      <x:c r="E58" s="18"/>
      <x:c r="F58" s="18"/>
      <x:c r="G58" s="18"/>
      <x:c r="H58" s="18"/>
      <x:c r="I58" s="18"/>
      <x:c r="J58" s="18"/>
      <x:c r="K58" s="18"/>
      <x:c r="L58" s="20"/>
      <x:c r="M58" s="20"/>
      <x:c r="N58" s="18"/>
      <x:c r="O58" s="18"/>
      <x:c r="P58" s="20"/>
      <x:c r="Q58" s="20"/>
      <x:c r="R58" s="21" t="n">
        <x:f>(F58+G58)/60</x:f>
        <x:v>0</x:v>
      </x:c>
      <x:c r="S58" s="21" t="n">
        <x:f>R58+N58+O58</x:f>
        <x:v>0</x:v>
      </x:c>
      <x:c r="T58" s="20" t="n">
        <x:f>P58-Q58</x:f>
        <x:v>0</x:v>
      </x:c>
      <x:c r="U58" s="20" t="n">
        <x:f>IF(S58&gt;0,T58/S58,0)</x:f>
        <x:v>0</x:v>
      </x:c>
      <x:c r="V58" s="18"/>
      <x:c r="W58" s="18"/>
      <x:c r="X58" s="18"/>
      <x:c r="Y58" s="18"/>
    </x:row>
    <x:row r="59">
      <x:c r="A59" s="18"/>
      <x:c r="B59" s="19"/>
      <x:c r="C59" s="18"/>
      <x:c r="D59" s="18"/>
      <x:c r="E59" s="18"/>
      <x:c r="F59" s="18"/>
      <x:c r="G59" s="18"/>
      <x:c r="H59" s="18"/>
      <x:c r="I59" s="18"/>
      <x:c r="J59" s="18"/>
      <x:c r="K59" s="18"/>
      <x:c r="L59" s="20"/>
      <x:c r="M59" s="20"/>
      <x:c r="N59" s="18"/>
      <x:c r="O59" s="18"/>
      <x:c r="P59" s="20"/>
      <x:c r="Q59" s="20"/>
      <x:c r="R59" s="21" t="n">
        <x:f>(F59+G59)/60</x:f>
        <x:v>0</x:v>
      </x:c>
      <x:c r="S59" s="21" t="n">
        <x:f>R59+N59+O59</x:f>
        <x:v>0</x:v>
      </x:c>
      <x:c r="T59" s="20" t="n">
        <x:f>P59-Q59</x:f>
        <x:v>0</x:v>
      </x:c>
      <x:c r="U59" s="20" t="n">
        <x:f>IF(S59&gt;0,T59/S59,0)</x:f>
        <x:v>0</x:v>
      </x:c>
      <x:c r="V59" s="18"/>
      <x:c r="W59" s="18"/>
      <x:c r="X59" s="18"/>
      <x:c r="Y59" s="18"/>
    </x:row>
    <x:row r="60">
      <x:c r="A60" s="18"/>
      <x:c r="B60" s="19"/>
      <x:c r="C60" s="18"/>
      <x:c r="D60" s="18"/>
      <x:c r="E60" s="18"/>
      <x:c r="F60" s="18"/>
      <x:c r="G60" s="18"/>
      <x:c r="H60" s="18"/>
      <x:c r="I60" s="18"/>
      <x:c r="J60" s="18"/>
      <x:c r="K60" s="18"/>
      <x:c r="L60" s="20"/>
      <x:c r="M60" s="20"/>
      <x:c r="N60" s="18"/>
      <x:c r="O60" s="18"/>
      <x:c r="P60" s="20"/>
      <x:c r="Q60" s="20"/>
      <x:c r="R60" s="21" t="n">
        <x:f>(F60+G60)/60</x:f>
        <x:v>0</x:v>
      </x:c>
      <x:c r="S60" s="21" t="n">
        <x:f>R60+N60+O60</x:f>
        <x:v>0</x:v>
      </x:c>
      <x:c r="T60" s="20" t="n">
        <x:f>P60-Q60</x:f>
        <x:v>0</x:v>
      </x:c>
      <x:c r="U60" s="20" t="n">
        <x:f>IF(S60&gt;0,T60/S60,0)</x:f>
        <x:v>0</x:v>
      </x:c>
      <x:c r="V60" s="18"/>
      <x:c r="W60" s="18"/>
      <x:c r="X60" s="18"/>
      <x:c r="Y60" s="18"/>
    </x:row>
    <x:row r="61">
      <x:c r="A61" s="18"/>
      <x:c r="B61" s="19"/>
      <x:c r="C61" s="18"/>
      <x:c r="D61" s="18"/>
      <x:c r="E61" s="18"/>
      <x:c r="F61" s="18"/>
      <x:c r="G61" s="18"/>
      <x:c r="H61" s="18"/>
      <x:c r="I61" s="18"/>
      <x:c r="J61" s="18"/>
      <x:c r="K61" s="18"/>
      <x:c r="L61" s="20"/>
      <x:c r="M61" s="20"/>
      <x:c r="N61" s="18"/>
      <x:c r="O61" s="18"/>
      <x:c r="P61" s="20"/>
      <x:c r="Q61" s="20"/>
      <x:c r="R61" s="21" t="n">
        <x:f>(F61+G61)/60</x:f>
        <x:v>0</x:v>
      </x:c>
      <x:c r="S61" s="21" t="n">
        <x:f>R61+N61+O61</x:f>
        <x:v>0</x:v>
      </x:c>
      <x:c r="T61" s="20" t="n">
        <x:f>P61-Q61</x:f>
        <x:v>0</x:v>
      </x:c>
      <x:c r="U61" s="20" t="n">
        <x:f>IF(S61&gt;0,T61/S61,0)</x:f>
        <x:v>0</x:v>
      </x:c>
      <x:c r="V61" s="18"/>
      <x:c r="W61" s="18"/>
      <x:c r="X61" s="18"/>
      <x:c r="Y61" s="18"/>
    </x:row>
    <x:row r="62">
      <x:c r="A62" s="18"/>
      <x:c r="B62" s="19"/>
      <x:c r="C62" s="18"/>
      <x:c r="D62" s="18"/>
      <x:c r="E62" s="18"/>
      <x:c r="F62" s="18"/>
      <x:c r="G62" s="18"/>
      <x:c r="H62" s="18"/>
      <x:c r="I62" s="18"/>
      <x:c r="J62" s="18"/>
      <x:c r="K62" s="18"/>
      <x:c r="L62" s="20"/>
      <x:c r="M62" s="20"/>
      <x:c r="N62" s="18"/>
      <x:c r="O62" s="18"/>
      <x:c r="P62" s="20"/>
      <x:c r="Q62" s="20"/>
      <x:c r="R62" s="21" t="n">
        <x:f>(F62+G62)/60</x:f>
        <x:v>0</x:v>
      </x:c>
      <x:c r="S62" s="21" t="n">
        <x:f>R62+N62+O62</x:f>
        <x:v>0</x:v>
      </x:c>
      <x:c r="T62" s="20" t="n">
        <x:f>P62-Q62</x:f>
        <x:v>0</x:v>
      </x:c>
      <x:c r="U62" s="20" t="n">
        <x:f>IF(S62&gt;0,T62/S62,0)</x:f>
        <x:v>0</x:v>
      </x:c>
      <x:c r="V62" s="18"/>
      <x:c r="W62" s="18"/>
      <x:c r="X62" s="18"/>
      <x:c r="Y62" s="18"/>
    </x:row>
    <x:row r="63">
      <x:c r="A63" s="18"/>
      <x:c r="B63" s="19"/>
      <x:c r="C63" s="18"/>
      <x:c r="D63" s="18"/>
      <x:c r="E63" s="18"/>
      <x:c r="F63" s="18"/>
      <x:c r="G63" s="18"/>
      <x:c r="H63" s="18"/>
      <x:c r="I63" s="18"/>
      <x:c r="J63" s="18"/>
      <x:c r="K63" s="18"/>
      <x:c r="L63" s="20"/>
      <x:c r="M63" s="20"/>
      <x:c r="N63" s="18"/>
      <x:c r="O63" s="18"/>
      <x:c r="P63" s="20"/>
      <x:c r="Q63" s="20"/>
      <x:c r="R63" s="21" t="n">
        <x:f>(F63+G63)/60</x:f>
        <x:v>0</x:v>
      </x:c>
      <x:c r="S63" s="21" t="n">
        <x:f>R63+N63+O63</x:f>
        <x:v>0</x:v>
      </x:c>
      <x:c r="T63" s="20" t="n">
        <x:f>P63-Q63</x:f>
        <x:v>0</x:v>
      </x:c>
      <x:c r="U63" s="20" t="n">
        <x:f>IF(S63&gt;0,T63/S63,0)</x:f>
        <x:v>0</x:v>
      </x:c>
      <x:c r="V63" s="18"/>
      <x:c r="W63" s="18"/>
      <x:c r="X63" s="18"/>
      <x:c r="Y63" s="18"/>
    </x:row>
    <x:row r="64">
      <x:c r="A64" s="18"/>
      <x:c r="B64" s="19"/>
      <x:c r="C64" s="18"/>
      <x:c r="D64" s="18"/>
      <x:c r="E64" s="18"/>
      <x:c r="F64" s="18"/>
      <x:c r="G64" s="18"/>
      <x:c r="H64" s="18"/>
      <x:c r="I64" s="18"/>
      <x:c r="J64" s="18"/>
      <x:c r="K64" s="18"/>
      <x:c r="L64" s="20"/>
      <x:c r="M64" s="20"/>
      <x:c r="N64" s="18"/>
      <x:c r="O64" s="18"/>
      <x:c r="P64" s="20"/>
      <x:c r="Q64" s="20"/>
      <x:c r="R64" s="21" t="n">
        <x:f>(F64+G64)/60</x:f>
        <x:v>0</x:v>
      </x:c>
      <x:c r="S64" s="21" t="n">
        <x:f>R64+N64+O64</x:f>
        <x:v>0</x:v>
      </x:c>
      <x:c r="T64" s="20" t="n">
        <x:f>P64-Q64</x:f>
        <x:v>0</x:v>
      </x:c>
      <x:c r="U64" s="20" t="n">
        <x:f>IF(S64&gt;0,T64/S64,0)</x:f>
        <x:v>0</x:v>
      </x:c>
      <x:c r="V64" s="18"/>
      <x:c r="W64" s="18"/>
      <x:c r="X64" s="18"/>
      <x:c r="Y64" s="18"/>
    </x:row>
    <x:row r="65">
      <x:c r="A65" s="18"/>
      <x:c r="B65" s="19"/>
      <x:c r="C65" s="18"/>
      <x:c r="D65" s="18"/>
      <x:c r="E65" s="18"/>
      <x:c r="F65" s="18"/>
      <x:c r="G65" s="18"/>
      <x:c r="H65" s="18"/>
      <x:c r="I65" s="18"/>
      <x:c r="J65" s="18"/>
      <x:c r="K65" s="18"/>
      <x:c r="L65" s="20"/>
      <x:c r="M65" s="20"/>
      <x:c r="N65" s="18"/>
      <x:c r="O65" s="18"/>
      <x:c r="P65" s="20"/>
      <x:c r="Q65" s="20"/>
      <x:c r="R65" s="21" t="n">
        <x:f>(F65+G65)/60</x:f>
        <x:v>0</x:v>
      </x:c>
      <x:c r="S65" s="21" t="n">
        <x:f>R65+N65+O65</x:f>
        <x:v>0</x:v>
      </x:c>
      <x:c r="T65" s="20" t="n">
        <x:f>P65-Q65</x:f>
        <x:v>0</x:v>
      </x:c>
      <x:c r="U65" s="20" t="n">
        <x:f>IF(S65&gt;0,T65/S65,0)</x:f>
        <x:v>0</x:v>
      </x:c>
      <x:c r="V65" s="18"/>
      <x:c r="W65" s="18"/>
      <x:c r="X65" s="18"/>
      <x:c r="Y65" s="18"/>
    </x:row>
    <x:row r="66">
      <x:c r="A66" s="18"/>
      <x:c r="B66" s="19"/>
      <x:c r="C66" s="18"/>
      <x:c r="D66" s="18"/>
      <x:c r="E66" s="18"/>
      <x:c r="F66" s="18"/>
      <x:c r="G66" s="18"/>
      <x:c r="H66" s="18"/>
      <x:c r="I66" s="18"/>
      <x:c r="J66" s="18"/>
      <x:c r="K66" s="18"/>
      <x:c r="L66" s="20"/>
      <x:c r="M66" s="20"/>
      <x:c r="N66" s="18"/>
      <x:c r="O66" s="18"/>
      <x:c r="P66" s="20"/>
      <x:c r="Q66" s="20"/>
      <x:c r="R66" s="21" t="n">
        <x:f>(F66+G66)/60</x:f>
        <x:v>0</x:v>
      </x:c>
      <x:c r="S66" s="21" t="n">
        <x:f>R66+N66+O66</x:f>
        <x:v>0</x:v>
      </x:c>
      <x:c r="T66" s="20" t="n">
        <x:f>P66-Q66</x:f>
        <x:v>0</x:v>
      </x:c>
      <x:c r="U66" s="20" t="n">
        <x:f>IF(S66&gt;0,T66/S66,0)</x:f>
        <x:v>0</x:v>
      </x:c>
      <x:c r="V66" s="18"/>
      <x:c r="W66" s="18"/>
      <x:c r="X66" s="18"/>
      <x:c r="Y66" s="18"/>
    </x:row>
    <x:row r="67">
      <x:c r="A67" s="18"/>
      <x:c r="B67" s="19"/>
      <x:c r="C67" s="18"/>
      <x:c r="D67" s="18"/>
      <x:c r="E67" s="18"/>
      <x:c r="F67" s="18"/>
      <x:c r="G67" s="18"/>
      <x:c r="H67" s="18"/>
      <x:c r="I67" s="18"/>
      <x:c r="J67" s="18"/>
      <x:c r="K67" s="18"/>
      <x:c r="L67" s="20"/>
      <x:c r="M67" s="20"/>
      <x:c r="N67" s="18"/>
      <x:c r="O67" s="18"/>
      <x:c r="P67" s="20"/>
      <x:c r="Q67" s="20"/>
      <x:c r="R67" s="21" t="n">
        <x:f>(F67+G67)/60</x:f>
        <x:v>0</x:v>
      </x:c>
      <x:c r="S67" s="21" t="n">
        <x:f>R67+N67+O67</x:f>
        <x:v>0</x:v>
      </x:c>
      <x:c r="T67" s="20" t="n">
        <x:f>P67-Q67</x:f>
        <x:v>0</x:v>
      </x:c>
      <x:c r="U67" s="20" t="n">
        <x:f>IF(S67&gt;0,T67/S67,0)</x:f>
        <x:v>0</x:v>
      </x:c>
      <x:c r="V67" s="18"/>
      <x:c r="W67" s="18"/>
      <x:c r="X67" s="18"/>
      <x:c r="Y67" s="18"/>
    </x:row>
    <x:row r="68">
      <x:c r="A68" s="18"/>
      <x:c r="B68" s="19"/>
      <x:c r="C68" s="18"/>
      <x:c r="D68" s="18"/>
      <x:c r="E68" s="18"/>
      <x:c r="F68" s="18"/>
      <x:c r="G68" s="18"/>
      <x:c r="H68" s="18"/>
      <x:c r="I68" s="18"/>
      <x:c r="J68" s="18"/>
      <x:c r="K68" s="18"/>
      <x:c r="L68" s="20"/>
      <x:c r="M68" s="20"/>
      <x:c r="N68" s="18"/>
      <x:c r="O68" s="18"/>
      <x:c r="P68" s="20"/>
      <x:c r="Q68" s="20"/>
      <x:c r="R68" s="21" t="n">
        <x:f>(F68+G68)/60</x:f>
        <x:v>0</x:v>
      </x:c>
      <x:c r="S68" s="21" t="n">
        <x:f>R68+N68+O68</x:f>
        <x:v>0</x:v>
      </x:c>
      <x:c r="T68" s="20" t="n">
        <x:f>P68-Q68</x:f>
        <x:v>0</x:v>
      </x:c>
      <x:c r="U68" s="20" t="n">
        <x:f>IF(S68&gt;0,T68/S68,0)</x:f>
        <x:v>0</x:v>
      </x:c>
      <x:c r="V68" s="18"/>
      <x:c r="W68" s="18"/>
      <x:c r="X68" s="18"/>
      <x:c r="Y68" s="18"/>
    </x:row>
    <x:row r="69">
      <x:c r="A69" s="18"/>
      <x:c r="B69" s="19"/>
      <x:c r="C69" s="18"/>
      <x:c r="D69" s="18"/>
      <x:c r="E69" s="18"/>
      <x:c r="F69" s="18"/>
      <x:c r="G69" s="18"/>
      <x:c r="H69" s="18"/>
      <x:c r="I69" s="18"/>
      <x:c r="J69" s="18"/>
      <x:c r="K69" s="18"/>
      <x:c r="L69" s="20"/>
      <x:c r="M69" s="20"/>
      <x:c r="N69" s="18"/>
      <x:c r="O69" s="18"/>
      <x:c r="P69" s="20"/>
      <x:c r="Q69" s="20"/>
      <x:c r="R69" s="21" t="n">
        <x:f>(F69+G69)/60</x:f>
        <x:v>0</x:v>
      </x:c>
      <x:c r="S69" s="21" t="n">
        <x:f>R69+N69+O69</x:f>
        <x:v>0</x:v>
      </x:c>
      <x:c r="T69" s="20" t="n">
        <x:f>P69-Q69</x:f>
        <x:v>0</x:v>
      </x:c>
      <x:c r="U69" s="20" t="n">
        <x:f>IF(S69&gt;0,T69/S69,0)</x:f>
        <x:v>0</x:v>
      </x:c>
      <x:c r="V69" s="18"/>
      <x:c r="W69" s="18"/>
      <x:c r="X69" s="18"/>
      <x:c r="Y69" s="18"/>
    </x:row>
    <x:row r="70">
      <x:c r="A70" s="18"/>
      <x:c r="B70" s="19"/>
      <x:c r="C70" s="18"/>
      <x:c r="D70" s="18"/>
      <x:c r="E70" s="18"/>
      <x:c r="F70" s="18"/>
      <x:c r="G70" s="18"/>
      <x:c r="H70" s="18"/>
      <x:c r="I70" s="18"/>
      <x:c r="J70" s="18"/>
      <x:c r="K70" s="18"/>
      <x:c r="L70" s="20"/>
      <x:c r="M70" s="20"/>
      <x:c r="N70" s="18"/>
      <x:c r="O70" s="18"/>
      <x:c r="P70" s="20"/>
      <x:c r="Q70" s="20"/>
      <x:c r="R70" s="21" t="n">
        <x:f>(F70+G70)/60</x:f>
        <x:v>0</x:v>
      </x:c>
      <x:c r="S70" s="21" t="n">
        <x:f>R70+N70+O70</x:f>
        <x:v>0</x:v>
      </x:c>
      <x:c r="T70" s="20" t="n">
        <x:f>P70-Q70</x:f>
        <x:v>0</x:v>
      </x:c>
      <x:c r="U70" s="20" t="n">
        <x:f>IF(S70&gt;0,T70/S70,0)</x:f>
        <x:v>0</x:v>
      </x:c>
      <x:c r="V70" s="18"/>
      <x:c r="W70" s="18"/>
      <x:c r="X70" s="18"/>
      <x:c r="Y70" s="18"/>
    </x:row>
    <x:row r="71">
      <x:c r="A71" s="18"/>
      <x:c r="B71" s="19"/>
      <x:c r="C71" s="18"/>
      <x:c r="D71" s="18"/>
      <x:c r="E71" s="18"/>
      <x:c r="F71" s="18"/>
      <x:c r="G71" s="18"/>
      <x:c r="H71" s="18"/>
      <x:c r="I71" s="18"/>
      <x:c r="J71" s="18"/>
      <x:c r="K71" s="18"/>
      <x:c r="L71" s="20"/>
      <x:c r="M71" s="20"/>
      <x:c r="N71" s="18"/>
      <x:c r="O71" s="18"/>
      <x:c r="P71" s="20"/>
      <x:c r="Q71" s="20"/>
      <x:c r="R71" s="21" t="n">
        <x:f>(F71+G71)/60</x:f>
        <x:v>0</x:v>
      </x:c>
      <x:c r="S71" s="21" t="n">
        <x:f>R71+N71+O71</x:f>
        <x:v>0</x:v>
      </x:c>
      <x:c r="T71" s="20" t="n">
        <x:f>P71-Q71</x:f>
        <x:v>0</x:v>
      </x:c>
      <x:c r="U71" s="20" t="n">
        <x:f>IF(S71&gt;0,T71/S71,0)</x:f>
        <x:v>0</x:v>
      </x:c>
      <x:c r="V71" s="18"/>
      <x:c r="W71" s="18"/>
      <x:c r="X71" s="18"/>
      <x:c r="Y71" s="18"/>
    </x:row>
    <x:row r="72">
      <x:c r="A72" s="18"/>
      <x:c r="B72" s="19"/>
      <x:c r="C72" s="18"/>
      <x:c r="D72" s="18"/>
      <x:c r="E72" s="18"/>
      <x:c r="F72" s="18"/>
      <x:c r="G72" s="18"/>
      <x:c r="H72" s="18"/>
      <x:c r="I72" s="18"/>
      <x:c r="J72" s="18"/>
      <x:c r="K72" s="18"/>
      <x:c r="L72" s="20"/>
      <x:c r="M72" s="20"/>
      <x:c r="N72" s="18"/>
      <x:c r="O72" s="18"/>
      <x:c r="P72" s="20"/>
      <x:c r="Q72" s="20"/>
      <x:c r="R72" s="21" t="n">
        <x:f>(F72+G72)/60</x:f>
        <x:v>0</x:v>
      </x:c>
      <x:c r="S72" s="21" t="n">
        <x:f>R72+N72+O72</x:f>
        <x:v>0</x:v>
      </x:c>
      <x:c r="T72" s="20" t="n">
        <x:f>P72-Q72</x:f>
        <x:v>0</x:v>
      </x:c>
      <x:c r="U72" s="20" t="n">
        <x:f>IF(S72&gt;0,T72/S72,0)</x:f>
        <x:v>0</x:v>
      </x:c>
      <x:c r="V72" s="18"/>
      <x:c r="W72" s="18"/>
      <x:c r="X72" s="18"/>
      <x:c r="Y72" s="18"/>
    </x:row>
    <x:row r="73">
      <x:c r="A73" s="18"/>
      <x:c r="B73" s="19"/>
      <x:c r="C73" s="18"/>
      <x:c r="D73" s="18"/>
      <x:c r="E73" s="18"/>
      <x:c r="F73" s="18"/>
      <x:c r="G73" s="18"/>
      <x:c r="H73" s="18"/>
      <x:c r="I73" s="18"/>
      <x:c r="J73" s="18"/>
      <x:c r="K73" s="18"/>
      <x:c r="L73" s="20"/>
      <x:c r="M73" s="20"/>
      <x:c r="N73" s="18"/>
      <x:c r="O73" s="18"/>
      <x:c r="P73" s="20"/>
      <x:c r="Q73" s="20"/>
      <x:c r="R73" s="21" t="n">
        <x:f>(F73+G73)/60</x:f>
        <x:v>0</x:v>
      </x:c>
      <x:c r="S73" s="21" t="n">
        <x:f>R73+N73+O73</x:f>
        <x:v>0</x:v>
      </x:c>
      <x:c r="T73" s="20" t="n">
        <x:f>P73-Q73</x:f>
        <x:v>0</x:v>
      </x:c>
      <x:c r="U73" s="20" t="n">
        <x:f>IF(S73&gt;0,T73/S73,0)</x:f>
        <x:v>0</x:v>
      </x:c>
      <x:c r="V73" s="18"/>
      <x:c r="W73" s="18"/>
      <x:c r="X73" s="18"/>
      <x:c r="Y73" s="18"/>
    </x:row>
    <x:row r="74">
      <x:c r="A74" s="18"/>
      <x:c r="B74" s="19"/>
      <x:c r="C74" s="18"/>
      <x:c r="D74" s="18"/>
      <x:c r="E74" s="18"/>
      <x:c r="F74" s="18"/>
      <x:c r="G74" s="18"/>
      <x:c r="H74" s="18"/>
      <x:c r="I74" s="18"/>
      <x:c r="J74" s="18"/>
      <x:c r="K74" s="18"/>
      <x:c r="L74" s="20"/>
      <x:c r="M74" s="20"/>
      <x:c r="N74" s="18"/>
      <x:c r="O74" s="18"/>
      <x:c r="P74" s="20"/>
      <x:c r="Q74" s="20"/>
      <x:c r="R74" s="21" t="n">
        <x:f>(F74+G74)/60</x:f>
        <x:v>0</x:v>
      </x:c>
      <x:c r="S74" s="21" t="n">
        <x:f>R74+N74+O74</x:f>
        <x:v>0</x:v>
      </x:c>
      <x:c r="T74" s="20" t="n">
        <x:f>P74-Q74</x:f>
        <x:v>0</x:v>
      </x:c>
      <x:c r="U74" s="20" t="n">
        <x:f>IF(S74&gt;0,T74/S74,0)</x:f>
        <x:v>0</x:v>
      </x:c>
      <x:c r="V74" s="18"/>
      <x:c r="W74" s="18"/>
      <x:c r="X74" s="18"/>
      <x:c r="Y74" s="18"/>
    </x:row>
    <x:row r="75">
      <x:c r="A75" s="18"/>
      <x:c r="B75" s="19"/>
      <x:c r="C75" s="18"/>
      <x:c r="D75" s="18"/>
      <x:c r="E75" s="18"/>
      <x:c r="F75" s="18"/>
      <x:c r="G75" s="18"/>
      <x:c r="H75" s="18"/>
      <x:c r="I75" s="18"/>
      <x:c r="J75" s="18"/>
      <x:c r="K75" s="18"/>
      <x:c r="L75" s="20"/>
      <x:c r="M75" s="20"/>
      <x:c r="N75" s="18"/>
      <x:c r="O75" s="18"/>
      <x:c r="P75" s="20"/>
      <x:c r="Q75" s="20"/>
      <x:c r="R75" s="21" t="n">
        <x:f>(F75+G75)/60</x:f>
        <x:v>0</x:v>
      </x:c>
      <x:c r="S75" s="21" t="n">
        <x:f>R75+N75+O75</x:f>
        <x:v>0</x:v>
      </x:c>
      <x:c r="T75" s="20" t="n">
        <x:f>P75-Q75</x:f>
        <x:v>0</x:v>
      </x:c>
      <x:c r="U75" s="20" t="n">
        <x:f>IF(S75&gt;0,T75/S75,0)</x:f>
        <x:v>0</x:v>
      </x:c>
      <x:c r="V75" s="18"/>
      <x:c r="W75" s="18"/>
      <x:c r="X75" s="18"/>
      <x:c r="Y75" s="18"/>
    </x:row>
    <x:row r="76">
      <x:c r="A76" s="18"/>
      <x:c r="B76" s="19"/>
      <x:c r="C76" s="18"/>
      <x:c r="D76" s="18"/>
      <x:c r="E76" s="18"/>
      <x:c r="F76" s="18"/>
      <x:c r="G76" s="18"/>
      <x:c r="H76" s="18"/>
      <x:c r="I76" s="18"/>
      <x:c r="J76" s="18"/>
      <x:c r="K76" s="18"/>
      <x:c r="L76" s="20"/>
      <x:c r="M76" s="20"/>
      <x:c r="N76" s="18"/>
      <x:c r="O76" s="18"/>
      <x:c r="P76" s="20"/>
      <x:c r="Q76" s="20"/>
      <x:c r="R76" s="21" t="n">
        <x:f>(F76+G76)/60</x:f>
        <x:v>0</x:v>
      </x:c>
      <x:c r="S76" s="21" t="n">
        <x:f>R76+N76+O76</x:f>
        <x:v>0</x:v>
      </x:c>
      <x:c r="T76" s="20" t="n">
        <x:f>P76-Q76</x:f>
        <x:v>0</x:v>
      </x:c>
      <x:c r="U76" s="20" t="n">
        <x:f>IF(S76&gt;0,T76/S76,0)</x:f>
        <x:v>0</x:v>
      </x:c>
      <x:c r="V76" s="18"/>
      <x:c r="W76" s="18"/>
      <x:c r="X76" s="18"/>
      <x:c r="Y76" s="18"/>
    </x:row>
    <x:row r="77">
      <x:c r="A77" s="18"/>
      <x:c r="B77" s="19"/>
      <x:c r="C77" s="18"/>
      <x:c r="D77" s="18"/>
      <x:c r="E77" s="18"/>
      <x:c r="F77" s="18"/>
      <x:c r="G77" s="18"/>
      <x:c r="H77" s="18"/>
      <x:c r="I77" s="18"/>
      <x:c r="J77" s="18"/>
      <x:c r="K77" s="18"/>
      <x:c r="L77" s="20"/>
      <x:c r="M77" s="20"/>
      <x:c r="N77" s="18"/>
      <x:c r="O77" s="18"/>
      <x:c r="P77" s="20"/>
      <x:c r="Q77" s="20"/>
      <x:c r="R77" s="21" t="n">
        <x:f>(F77+G77)/60</x:f>
        <x:v>0</x:v>
      </x:c>
      <x:c r="S77" s="21" t="n">
        <x:f>R77+N77+O77</x:f>
        <x:v>0</x:v>
      </x:c>
      <x:c r="T77" s="20" t="n">
        <x:f>P77-Q77</x:f>
        <x:v>0</x:v>
      </x:c>
      <x:c r="U77" s="20" t="n">
        <x:f>IF(S77&gt;0,T77/S77,0)</x:f>
        <x:v>0</x:v>
      </x:c>
      <x:c r="V77" s="18"/>
      <x:c r="W77" s="18"/>
      <x:c r="X77" s="18"/>
      <x:c r="Y77" s="18"/>
    </x:row>
    <x:row r="78">
      <x:c r="A78" s="18"/>
      <x:c r="B78" s="19"/>
      <x:c r="C78" s="18"/>
      <x:c r="D78" s="18"/>
      <x:c r="E78" s="18"/>
      <x:c r="F78" s="18"/>
      <x:c r="G78" s="18"/>
      <x:c r="H78" s="18"/>
      <x:c r="I78" s="18"/>
      <x:c r="J78" s="18"/>
      <x:c r="K78" s="18"/>
      <x:c r="L78" s="20"/>
      <x:c r="M78" s="20"/>
      <x:c r="N78" s="18"/>
      <x:c r="O78" s="18"/>
      <x:c r="P78" s="20"/>
      <x:c r="Q78" s="20"/>
      <x:c r="R78" s="21" t="n">
        <x:f>(F78+G78)/60</x:f>
        <x:v>0</x:v>
      </x:c>
      <x:c r="S78" s="21" t="n">
        <x:f>R78+N78+O78</x:f>
        <x:v>0</x:v>
      </x:c>
      <x:c r="T78" s="20" t="n">
        <x:f>P78-Q78</x:f>
        <x:v>0</x:v>
      </x:c>
      <x:c r="U78" s="20" t="n">
        <x:f>IF(S78&gt;0,T78/S78,0)</x:f>
        <x:v>0</x:v>
      </x:c>
      <x:c r="V78" s="18"/>
      <x:c r="W78" s="18"/>
      <x:c r="X78" s="18"/>
      <x:c r="Y78" s="18"/>
    </x:row>
    <x:row r="79">
      <x:c r="A79" s="18"/>
      <x:c r="B79" s="19"/>
      <x:c r="C79" s="18"/>
      <x:c r="D79" s="18"/>
      <x:c r="E79" s="18"/>
      <x:c r="F79" s="18"/>
      <x:c r="G79" s="18"/>
      <x:c r="H79" s="18"/>
      <x:c r="I79" s="18"/>
      <x:c r="J79" s="18"/>
      <x:c r="K79" s="18"/>
      <x:c r="L79" s="20"/>
      <x:c r="M79" s="20"/>
      <x:c r="N79" s="18"/>
      <x:c r="O79" s="18"/>
      <x:c r="P79" s="20"/>
      <x:c r="Q79" s="20"/>
      <x:c r="R79" s="21" t="n">
        <x:f>(F79+G79)/60</x:f>
        <x:v>0</x:v>
      </x:c>
      <x:c r="S79" s="21" t="n">
        <x:f>R79+N79+O79</x:f>
        <x:v>0</x:v>
      </x:c>
      <x:c r="T79" s="20" t="n">
        <x:f>P79-Q79</x:f>
        <x:v>0</x:v>
      </x:c>
      <x:c r="U79" s="20" t="n">
        <x:f>IF(S79&gt;0,T79/S79,0)</x:f>
        <x:v>0</x:v>
      </x:c>
      <x:c r="V79" s="18"/>
      <x:c r="W79" s="18"/>
      <x:c r="X79" s="18"/>
      <x:c r="Y79" s="18"/>
    </x:row>
    <x:row r="80">
      <x:c r="A80" s="18"/>
      <x:c r="B80" s="19"/>
      <x:c r="C80" s="18"/>
      <x:c r="D80" s="18"/>
      <x:c r="E80" s="18"/>
      <x:c r="F80" s="18"/>
      <x:c r="G80" s="18"/>
      <x:c r="H80" s="18"/>
      <x:c r="I80" s="18"/>
      <x:c r="J80" s="18"/>
      <x:c r="K80" s="18"/>
      <x:c r="L80" s="20"/>
      <x:c r="M80" s="20"/>
      <x:c r="N80" s="18"/>
      <x:c r="O80" s="18"/>
      <x:c r="P80" s="20"/>
      <x:c r="Q80" s="20"/>
      <x:c r="R80" s="21" t="n">
        <x:f>(F80+G80)/60</x:f>
        <x:v>0</x:v>
      </x:c>
      <x:c r="S80" s="21" t="n">
        <x:f>R80+N80+O80</x:f>
        <x:v>0</x:v>
      </x:c>
      <x:c r="T80" s="20" t="n">
        <x:f>P80-Q80</x:f>
        <x:v>0</x:v>
      </x:c>
      <x:c r="U80" s="20" t="n">
        <x:f>IF(S80&gt;0,T80/S80,0)</x:f>
        <x:v>0</x:v>
      </x:c>
      <x:c r="V80" s="18"/>
      <x:c r="W80" s="18"/>
      <x:c r="X80" s="18"/>
      <x:c r="Y80" s="18"/>
    </x:row>
    <x:row r="81">
      <x:c r="A81" s="18"/>
      <x:c r="B81" s="19"/>
      <x:c r="C81" s="18"/>
      <x:c r="D81" s="18"/>
      <x:c r="E81" s="18"/>
      <x:c r="F81" s="18"/>
      <x:c r="G81" s="18"/>
      <x:c r="H81" s="18"/>
      <x:c r="I81" s="18"/>
      <x:c r="J81" s="18"/>
      <x:c r="K81" s="18"/>
      <x:c r="L81" s="20"/>
      <x:c r="M81" s="20"/>
      <x:c r="N81" s="18"/>
      <x:c r="O81" s="18"/>
      <x:c r="P81" s="20"/>
      <x:c r="Q81" s="20"/>
      <x:c r="R81" s="21" t="n">
        <x:f>(F81+G81)/60</x:f>
        <x:v>0</x:v>
      </x:c>
      <x:c r="S81" s="21" t="n">
        <x:f>R81+N81+O81</x:f>
        <x:v>0</x:v>
      </x:c>
      <x:c r="T81" s="20" t="n">
        <x:f>P81-Q81</x:f>
        <x:v>0</x:v>
      </x:c>
      <x:c r="U81" s="20" t="n">
        <x:f>IF(S81&gt;0,T81/S81,0)</x:f>
        <x:v>0</x:v>
      </x:c>
      <x:c r="V81" s="18"/>
      <x:c r="W81" s="18"/>
      <x:c r="X81" s="18"/>
      <x:c r="Y81" s="18"/>
    </x:row>
    <x:row r="82">
      <x:c r="A82" s="18"/>
      <x:c r="B82" s="19"/>
      <x:c r="C82" s="18"/>
      <x:c r="D82" s="18"/>
      <x:c r="E82" s="18"/>
      <x:c r="F82" s="18"/>
      <x:c r="G82" s="18"/>
      <x:c r="H82" s="18"/>
      <x:c r="I82" s="18"/>
      <x:c r="J82" s="18"/>
      <x:c r="K82" s="18"/>
      <x:c r="L82" s="20"/>
      <x:c r="M82" s="20"/>
      <x:c r="N82" s="18"/>
      <x:c r="O82" s="18"/>
      <x:c r="P82" s="20"/>
      <x:c r="Q82" s="20"/>
      <x:c r="R82" s="21" t="n">
        <x:f>(F82+G82)/60</x:f>
        <x:v>0</x:v>
      </x:c>
      <x:c r="S82" s="21" t="n">
        <x:f>R82+N82+O82</x:f>
        <x:v>0</x:v>
      </x:c>
      <x:c r="T82" s="20" t="n">
        <x:f>P82-Q82</x:f>
        <x:v>0</x:v>
      </x:c>
      <x:c r="U82" s="20" t="n">
        <x:f>IF(S82&gt;0,T82/S82,0)</x:f>
        <x:v>0</x:v>
      </x:c>
      <x:c r="V82" s="18"/>
      <x:c r="W82" s="18"/>
      <x:c r="X82" s="18"/>
      <x:c r="Y82" s="18"/>
    </x:row>
    <x:row r="83">
      <x:c r="A83" s="18"/>
      <x:c r="B83" s="19"/>
      <x:c r="C83" s="18"/>
      <x:c r="D83" s="18"/>
      <x:c r="E83" s="18"/>
      <x:c r="F83" s="18"/>
      <x:c r="G83" s="18"/>
      <x:c r="H83" s="18"/>
      <x:c r="I83" s="18"/>
      <x:c r="J83" s="18"/>
      <x:c r="K83" s="18"/>
      <x:c r="L83" s="20"/>
      <x:c r="M83" s="20"/>
      <x:c r="N83" s="18"/>
      <x:c r="O83" s="18"/>
      <x:c r="P83" s="20"/>
      <x:c r="Q83" s="20"/>
      <x:c r="R83" s="21" t="n">
        <x:f>(F83+G83)/60</x:f>
        <x:v>0</x:v>
      </x:c>
      <x:c r="S83" s="21" t="n">
        <x:f>R83+N83+O83</x:f>
        <x:v>0</x:v>
      </x:c>
      <x:c r="T83" s="20" t="n">
        <x:f>P83-Q83</x:f>
        <x:v>0</x:v>
      </x:c>
      <x:c r="U83" s="20" t="n">
        <x:f>IF(S83&gt;0,T83/S83,0)</x:f>
        <x:v>0</x:v>
      </x:c>
      <x:c r="V83" s="18"/>
      <x:c r="W83" s="18"/>
      <x:c r="X83" s="18"/>
      <x:c r="Y83" s="18"/>
    </x:row>
    <x:row r="84">
      <x:c r="A84" s="18"/>
      <x:c r="B84" s="19"/>
      <x:c r="C84" s="18"/>
      <x:c r="D84" s="18"/>
      <x:c r="E84" s="18"/>
      <x:c r="F84" s="18"/>
      <x:c r="G84" s="18"/>
      <x:c r="H84" s="18"/>
      <x:c r="I84" s="18"/>
      <x:c r="J84" s="18"/>
      <x:c r="K84" s="18"/>
      <x:c r="L84" s="20"/>
      <x:c r="M84" s="20"/>
      <x:c r="N84" s="18"/>
      <x:c r="O84" s="18"/>
      <x:c r="P84" s="20"/>
      <x:c r="Q84" s="20"/>
      <x:c r="R84" s="21" t="n">
        <x:f>(F84+G84)/60</x:f>
        <x:v>0</x:v>
      </x:c>
      <x:c r="S84" s="21" t="n">
        <x:f>R84+N84+O84</x:f>
        <x:v>0</x:v>
      </x:c>
      <x:c r="T84" s="20" t="n">
        <x:f>P84-Q84</x:f>
        <x:v>0</x:v>
      </x:c>
      <x:c r="U84" s="20" t="n">
        <x:f>IF(S84&gt;0,T84/S84,0)</x:f>
        <x:v>0</x:v>
      </x:c>
      <x:c r="V84" s="18"/>
      <x:c r="W84" s="18"/>
      <x:c r="X84" s="18"/>
      <x:c r="Y84" s="18"/>
    </x:row>
    <x:row r="85">
      <x:c r="A85" s="18"/>
      <x:c r="B85" s="19"/>
      <x:c r="C85" s="18"/>
      <x:c r="D85" s="18"/>
      <x:c r="E85" s="18"/>
      <x:c r="F85" s="18"/>
      <x:c r="G85" s="18"/>
      <x:c r="H85" s="18"/>
      <x:c r="I85" s="18"/>
      <x:c r="J85" s="18"/>
      <x:c r="K85" s="18"/>
      <x:c r="L85" s="20"/>
      <x:c r="M85" s="20"/>
      <x:c r="N85" s="18"/>
      <x:c r="O85" s="18"/>
      <x:c r="P85" s="20"/>
      <x:c r="Q85" s="20"/>
      <x:c r="R85" s="21" t="n">
        <x:f>(F85+G85)/60</x:f>
        <x:v>0</x:v>
      </x:c>
      <x:c r="S85" s="21" t="n">
        <x:f>R85+N85+O85</x:f>
        <x:v>0</x:v>
      </x:c>
      <x:c r="T85" s="20" t="n">
        <x:f>P85-Q85</x:f>
        <x:v>0</x:v>
      </x:c>
      <x:c r="U85" s="20" t="n">
        <x:f>IF(S85&gt;0,T85/S85,0)</x:f>
        <x:v>0</x:v>
      </x:c>
      <x:c r="V85" s="18"/>
      <x:c r="W85" s="18"/>
      <x:c r="X85" s="18"/>
      <x:c r="Y85" s="18"/>
    </x:row>
    <x:row r="86">
      <x:c r="A86" s="18"/>
      <x:c r="B86" s="19"/>
      <x:c r="C86" s="18"/>
      <x:c r="D86" s="18"/>
      <x:c r="E86" s="18"/>
      <x:c r="F86" s="18"/>
      <x:c r="G86" s="18"/>
      <x:c r="H86" s="18"/>
      <x:c r="I86" s="18"/>
      <x:c r="J86" s="18"/>
      <x:c r="K86" s="18"/>
      <x:c r="L86" s="20"/>
      <x:c r="M86" s="20"/>
      <x:c r="N86" s="18"/>
      <x:c r="O86" s="18"/>
      <x:c r="P86" s="20"/>
      <x:c r="Q86" s="20"/>
      <x:c r="R86" s="21" t="n">
        <x:f>(F86+G86)/60</x:f>
        <x:v>0</x:v>
      </x:c>
      <x:c r="S86" s="21" t="n">
        <x:f>R86+N86+O86</x:f>
        <x:v>0</x:v>
      </x:c>
      <x:c r="T86" s="20" t="n">
        <x:f>P86-Q86</x:f>
        <x:v>0</x:v>
      </x:c>
      <x:c r="U86" s="20" t="n">
        <x:f>IF(S86&gt;0,T86/S86,0)</x:f>
        <x:v>0</x:v>
      </x:c>
      <x:c r="V86" s="18"/>
      <x:c r="W86" s="18"/>
      <x:c r="X86" s="18"/>
      <x:c r="Y86" s="18"/>
    </x:row>
    <x:row r="87">
      <x:c r="A87" s="18"/>
      <x:c r="B87" s="19"/>
      <x:c r="C87" s="18"/>
      <x:c r="D87" s="18"/>
      <x:c r="E87" s="18"/>
      <x:c r="F87" s="18"/>
      <x:c r="G87" s="18"/>
      <x:c r="H87" s="18"/>
      <x:c r="I87" s="18"/>
      <x:c r="J87" s="18"/>
      <x:c r="K87" s="18"/>
      <x:c r="L87" s="20"/>
      <x:c r="M87" s="20"/>
      <x:c r="N87" s="18"/>
      <x:c r="O87" s="18"/>
      <x:c r="P87" s="20"/>
      <x:c r="Q87" s="20"/>
      <x:c r="R87" s="21" t="n">
        <x:f>(F87+G87)/60</x:f>
        <x:v>0</x:v>
      </x:c>
      <x:c r="S87" s="21" t="n">
        <x:f>R87+N87+O87</x:f>
        <x:v>0</x:v>
      </x:c>
      <x:c r="T87" s="20" t="n">
        <x:f>P87-Q87</x:f>
        <x:v>0</x:v>
      </x:c>
      <x:c r="U87" s="20" t="n">
        <x:f>IF(S87&gt;0,T87/S87,0)</x:f>
        <x:v>0</x:v>
      </x:c>
      <x:c r="V87" s="18"/>
      <x:c r="W87" s="18"/>
      <x:c r="X87" s="18"/>
      <x:c r="Y87" s="18"/>
    </x:row>
    <x:row r="88">
      <x:c r="A88" s="18"/>
      <x:c r="B88" s="19"/>
      <x:c r="C88" s="18"/>
      <x:c r="D88" s="18"/>
      <x:c r="E88" s="18"/>
      <x:c r="F88" s="18"/>
      <x:c r="G88" s="18"/>
      <x:c r="H88" s="18"/>
      <x:c r="I88" s="18"/>
      <x:c r="J88" s="18"/>
      <x:c r="K88" s="18"/>
      <x:c r="L88" s="20"/>
      <x:c r="M88" s="20"/>
      <x:c r="N88" s="18"/>
      <x:c r="O88" s="18"/>
      <x:c r="P88" s="20"/>
      <x:c r="Q88" s="20"/>
      <x:c r="R88" s="21" t="n">
        <x:f>(F88+G88)/60</x:f>
        <x:v>0</x:v>
      </x:c>
      <x:c r="S88" s="21" t="n">
        <x:f>R88+N88+O88</x:f>
        <x:v>0</x:v>
      </x:c>
      <x:c r="T88" s="20" t="n">
        <x:f>P88-Q88</x:f>
        <x:v>0</x:v>
      </x:c>
      <x:c r="U88" s="20" t="n">
        <x:f>IF(S88&gt;0,T88/S88,0)</x:f>
        <x:v>0</x:v>
      </x:c>
      <x:c r="V88" s="18"/>
      <x:c r="W88" s="18"/>
      <x:c r="X88" s="18"/>
      <x:c r="Y88" s="18"/>
    </x:row>
    <x:row r="89">
      <x:c r="A89" s="18"/>
      <x:c r="B89" s="19"/>
      <x:c r="C89" s="18"/>
      <x:c r="D89" s="18"/>
      <x:c r="E89" s="18"/>
      <x:c r="F89" s="18"/>
      <x:c r="G89" s="18"/>
      <x:c r="H89" s="18"/>
      <x:c r="I89" s="18"/>
      <x:c r="J89" s="18"/>
      <x:c r="K89" s="18"/>
      <x:c r="L89" s="20"/>
      <x:c r="M89" s="20"/>
      <x:c r="N89" s="18"/>
      <x:c r="O89" s="18"/>
      <x:c r="P89" s="20"/>
      <x:c r="Q89" s="20"/>
      <x:c r="R89" s="21" t="n">
        <x:f>(F89+G89)/60</x:f>
        <x:v>0</x:v>
      </x:c>
      <x:c r="S89" s="21" t="n">
        <x:f>R89+N89+O89</x:f>
        <x:v>0</x:v>
      </x:c>
      <x:c r="T89" s="20" t="n">
        <x:f>P89-Q89</x:f>
        <x:v>0</x:v>
      </x:c>
      <x:c r="U89" s="20" t="n">
        <x:f>IF(S89&gt;0,T89/S89,0)</x:f>
        <x:v>0</x:v>
      </x:c>
      <x:c r="V89" s="18"/>
      <x:c r="W89" s="18"/>
      <x:c r="X89" s="18"/>
      <x:c r="Y89" s="18"/>
    </x:row>
    <x:row r="90">
      <x:c r="A90" s="18"/>
      <x:c r="B90" s="19"/>
      <x:c r="C90" s="18"/>
      <x:c r="D90" s="18"/>
      <x:c r="E90" s="18"/>
      <x:c r="F90" s="18"/>
      <x:c r="G90" s="18"/>
      <x:c r="H90" s="18"/>
      <x:c r="I90" s="18"/>
      <x:c r="J90" s="18"/>
      <x:c r="K90" s="18"/>
      <x:c r="L90" s="20"/>
      <x:c r="M90" s="20"/>
      <x:c r="N90" s="18"/>
      <x:c r="O90" s="18"/>
      <x:c r="P90" s="20"/>
      <x:c r="Q90" s="20"/>
      <x:c r="R90" s="21" t="n">
        <x:f>(F90+G90)/60</x:f>
        <x:v>0</x:v>
      </x:c>
      <x:c r="S90" s="21" t="n">
        <x:f>R90+N90+O90</x:f>
        <x:v>0</x:v>
      </x:c>
      <x:c r="T90" s="20" t="n">
        <x:f>P90-Q90</x:f>
        <x:v>0</x:v>
      </x:c>
      <x:c r="U90" s="20" t="n">
        <x:f>IF(S90&gt;0,T90/S90,0)</x:f>
        <x:v>0</x:v>
      </x:c>
      <x:c r="V90" s="18"/>
      <x:c r="W90" s="18"/>
      <x:c r="X90" s="18"/>
      <x:c r="Y90" s="18"/>
    </x:row>
    <x:row r="91">
      <x:c r="A91" s="18"/>
      <x:c r="B91" s="19"/>
      <x:c r="C91" s="18"/>
      <x:c r="D91" s="18"/>
      <x:c r="E91" s="18"/>
      <x:c r="F91" s="18"/>
      <x:c r="G91" s="18"/>
      <x:c r="H91" s="18"/>
      <x:c r="I91" s="18"/>
      <x:c r="J91" s="18"/>
      <x:c r="K91" s="18"/>
      <x:c r="L91" s="20"/>
      <x:c r="M91" s="20"/>
      <x:c r="N91" s="18"/>
      <x:c r="O91" s="18"/>
      <x:c r="P91" s="20"/>
      <x:c r="Q91" s="20"/>
      <x:c r="R91" s="21" t="n">
        <x:f>(F91+G91)/60</x:f>
        <x:v>0</x:v>
      </x:c>
      <x:c r="S91" s="21" t="n">
        <x:f>R91+N91+O91</x:f>
        <x:v>0</x:v>
      </x:c>
      <x:c r="T91" s="20" t="n">
        <x:f>P91-Q91</x:f>
        <x:v>0</x:v>
      </x:c>
      <x:c r="U91" s="20" t="n">
        <x:f>IF(S91&gt;0,T91/S91,0)</x:f>
        <x:v>0</x:v>
      </x:c>
      <x:c r="V91" s="18"/>
      <x:c r="W91" s="18"/>
      <x:c r="X91" s="18"/>
      <x:c r="Y91" s="18"/>
    </x:row>
    <x:row r="92">
      <x:c r="A92" s="18"/>
      <x:c r="B92" s="19"/>
      <x:c r="C92" s="18"/>
      <x:c r="D92" s="18"/>
      <x:c r="E92" s="18"/>
      <x:c r="F92" s="18"/>
      <x:c r="G92" s="18"/>
      <x:c r="H92" s="18"/>
      <x:c r="I92" s="18"/>
      <x:c r="J92" s="18"/>
      <x:c r="K92" s="18"/>
      <x:c r="L92" s="20"/>
      <x:c r="M92" s="20"/>
      <x:c r="N92" s="18"/>
      <x:c r="O92" s="18"/>
      <x:c r="P92" s="20"/>
      <x:c r="Q92" s="20"/>
      <x:c r="R92" s="21" t="n">
        <x:f>(F92+G92)/60</x:f>
        <x:v>0</x:v>
      </x:c>
      <x:c r="S92" s="21" t="n">
        <x:f>R92+N92+O92</x:f>
        <x:v>0</x:v>
      </x:c>
      <x:c r="T92" s="20" t="n">
        <x:f>P92-Q92</x:f>
        <x:v>0</x:v>
      </x:c>
      <x:c r="U92" s="20" t="n">
        <x:f>IF(S92&gt;0,T92/S92,0)</x:f>
        <x:v>0</x:v>
      </x:c>
      <x:c r="V92" s="18"/>
      <x:c r="W92" s="18"/>
      <x:c r="X92" s="18"/>
      <x:c r="Y92" s="18"/>
    </x:row>
    <x:row r="93">
      <x:c r="A93" s="18"/>
      <x:c r="B93" s="19"/>
      <x:c r="C93" s="18"/>
      <x:c r="D93" s="18"/>
      <x:c r="E93" s="18"/>
      <x:c r="F93" s="18"/>
      <x:c r="G93" s="18"/>
      <x:c r="H93" s="18"/>
      <x:c r="I93" s="18"/>
      <x:c r="J93" s="18"/>
      <x:c r="K93" s="18"/>
      <x:c r="L93" s="20"/>
      <x:c r="M93" s="20"/>
      <x:c r="N93" s="18"/>
      <x:c r="O93" s="18"/>
      <x:c r="P93" s="20"/>
      <x:c r="Q93" s="20"/>
      <x:c r="R93" s="21" t="n">
        <x:f>(F93+G93)/60</x:f>
        <x:v>0</x:v>
      </x:c>
      <x:c r="S93" s="21" t="n">
        <x:f>R93+N93+O93</x:f>
        <x:v>0</x:v>
      </x:c>
      <x:c r="T93" s="20" t="n">
        <x:f>P93-Q93</x:f>
        <x:v>0</x:v>
      </x:c>
      <x:c r="U93" s="20" t="n">
        <x:f>IF(S93&gt;0,T93/S93,0)</x:f>
        <x:v>0</x:v>
      </x:c>
      <x:c r="V93" s="18"/>
      <x:c r="W93" s="18"/>
      <x:c r="X93" s="18"/>
      <x:c r="Y93" s="18"/>
    </x:row>
    <x:row r="94">
      <x:c r="A94" s="18"/>
      <x:c r="B94" s="19"/>
      <x:c r="C94" s="18"/>
      <x:c r="D94" s="18"/>
      <x:c r="E94" s="18"/>
      <x:c r="F94" s="18"/>
      <x:c r="G94" s="18"/>
      <x:c r="H94" s="18"/>
      <x:c r="I94" s="18"/>
      <x:c r="J94" s="18"/>
      <x:c r="K94" s="18"/>
      <x:c r="L94" s="20"/>
      <x:c r="M94" s="20"/>
      <x:c r="N94" s="18"/>
      <x:c r="O94" s="18"/>
      <x:c r="P94" s="20"/>
      <x:c r="Q94" s="20"/>
      <x:c r="R94" s="21" t="n">
        <x:f>(F94+G94)/60</x:f>
        <x:v>0</x:v>
      </x:c>
      <x:c r="S94" s="21" t="n">
        <x:f>R94+N94+O94</x:f>
        <x:v>0</x:v>
      </x:c>
      <x:c r="T94" s="20" t="n">
        <x:f>P94-Q94</x:f>
        <x:v>0</x:v>
      </x:c>
      <x:c r="U94" s="20" t="n">
        <x:f>IF(S94&gt;0,T94/S94,0)</x:f>
        <x:v>0</x:v>
      </x:c>
      <x:c r="V94" s="18"/>
      <x:c r="W94" s="18"/>
      <x:c r="X94" s="18"/>
      <x:c r="Y94" s="18"/>
    </x:row>
    <x:row r="95">
      <x:c r="A95" s="18"/>
      <x:c r="B95" s="19"/>
      <x:c r="C95" s="18"/>
      <x:c r="D95" s="18"/>
      <x:c r="E95" s="18"/>
      <x:c r="F95" s="18"/>
      <x:c r="G95" s="18"/>
      <x:c r="H95" s="18"/>
      <x:c r="I95" s="18"/>
      <x:c r="J95" s="18"/>
      <x:c r="K95" s="18"/>
      <x:c r="L95" s="20"/>
      <x:c r="M95" s="20"/>
      <x:c r="N95" s="18"/>
      <x:c r="O95" s="18"/>
      <x:c r="P95" s="20"/>
      <x:c r="Q95" s="20"/>
      <x:c r="R95" s="21" t="n">
        <x:f>(F95+G95)/60</x:f>
        <x:v>0</x:v>
      </x:c>
      <x:c r="S95" s="21" t="n">
        <x:f>R95+N95+O95</x:f>
        <x:v>0</x:v>
      </x:c>
      <x:c r="T95" s="20" t="n">
        <x:f>P95-Q95</x:f>
        <x:v>0</x:v>
      </x:c>
      <x:c r="U95" s="20" t="n">
        <x:f>IF(S95&gt;0,T95/S95,0)</x:f>
        <x:v>0</x:v>
      </x:c>
      <x:c r="V95" s="18"/>
      <x:c r="W95" s="18"/>
      <x:c r="X95" s="18"/>
      <x:c r="Y95" s="18"/>
    </x:row>
    <x:row r="96">
      <x:c r="A96" s="18"/>
      <x:c r="B96" s="19"/>
      <x:c r="C96" s="18"/>
      <x:c r="D96" s="18"/>
      <x:c r="E96" s="18"/>
      <x:c r="F96" s="18"/>
      <x:c r="G96" s="18"/>
      <x:c r="H96" s="18"/>
      <x:c r="I96" s="18"/>
      <x:c r="J96" s="18"/>
      <x:c r="K96" s="18"/>
      <x:c r="L96" s="20"/>
      <x:c r="M96" s="20"/>
      <x:c r="N96" s="18"/>
      <x:c r="O96" s="18"/>
      <x:c r="P96" s="20"/>
      <x:c r="Q96" s="20"/>
      <x:c r="R96" s="21" t="n">
        <x:f>(F96+G96)/60</x:f>
        <x:v>0</x:v>
      </x:c>
      <x:c r="S96" s="21" t="n">
        <x:f>R96+N96+O96</x:f>
        <x:v>0</x:v>
      </x:c>
      <x:c r="T96" s="20" t="n">
        <x:f>P96-Q96</x:f>
        <x:v>0</x:v>
      </x:c>
      <x:c r="U96" s="20" t="n">
        <x:f>IF(S96&gt;0,T96/S96,0)</x:f>
        <x:v>0</x:v>
      </x:c>
      <x:c r="V96" s="18"/>
      <x:c r="W96" s="18"/>
      <x:c r="X96" s="18"/>
      <x:c r="Y96" s="18"/>
    </x:row>
    <x:row r="97">
      <x:c r="A97" s="18"/>
      <x:c r="B97" s="19"/>
      <x:c r="C97" s="18"/>
      <x:c r="D97" s="18"/>
      <x:c r="E97" s="18"/>
      <x:c r="F97" s="18"/>
      <x:c r="G97" s="18"/>
      <x:c r="H97" s="18"/>
      <x:c r="I97" s="18"/>
      <x:c r="J97" s="18"/>
      <x:c r="K97" s="18"/>
      <x:c r="L97" s="20"/>
      <x:c r="M97" s="20"/>
      <x:c r="N97" s="18"/>
      <x:c r="O97" s="18"/>
      <x:c r="P97" s="20"/>
      <x:c r="Q97" s="20"/>
      <x:c r="R97" s="21" t="n">
        <x:f>(F97+G97)/60</x:f>
        <x:v>0</x:v>
      </x:c>
      <x:c r="S97" s="21" t="n">
        <x:f>R97+N97+O97</x:f>
        <x:v>0</x:v>
      </x:c>
      <x:c r="T97" s="20" t="n">
        <x:f>P97-Q97</x:f>
        <x:v>0</x:v>
      </x:c>
      <x:c r="U97" s="20" t="n">
        <x:f>IF(S97&gt;0,T97/S97,0)</x:f>
        <x:v>0</x:v>
      </x:c>
      <x:c r="V97" s="18"/>
      <x:c r="W97" s="18"/>
      <x:c r="X97" s="18"/>
      <x:c r="Y97" s="18"/>
    </x:row>
    <x:row r="98">
      <x:c r="A98" s="18"/>
      <x:c r="B98" s="19"/>
      <x:c r="C98" s="18"/>
      <x:c r="D98" s="18"/>
      <x:c r="E98" s="18"/>
      <x:c r="F98" s="18"/>
      <x:c r="G98" s="18"/>
      <x:c r="H98" s="18"/>
      <x:c r="I98" s="18"/>
      <x:c r="J98" s="18"/>
      <x:c r="K98" s="18"/>
      <x:c r="L98" s="20"/>
      <x:c r="M98" s="20"/>
      <x:c r="N98" s="18"/>
      <x:c r="O98" s="18"/>
      <x:c r="P98" s="20"/>
      <x:c r="Q98" s="20"/>
      <x:c r="R98" s="21" t="n">
        <x:f>(F98+G98)/60</x:f>
        <x:v>0</x:v>
      </x:c>
      <x:c r="S98" s="21" t="n">
        <x:f>R98+N98+O98</x:f>
        <x:v>0</x:v>
      </x:c>
      <x:c r="T98" s="20" t="n">
        <x:f>P98-Q98</x:f>
        <x:v>0</x:v>
      </x:c>
      <x:c r="U98" s="20" t="n">
        <x:f>IF(S98&gt;0,T98/S98,0)</x:f>
        <x:v>0</x:v>
      </x:c>
      <x:c r="V98" s="18"/>
      <x:c r="W98" s="18"/>
      <x:c r="X98" s="18"/>
      <x:c r="Y98" s="18"/>
    </x:row>
    <x:row r="99">
      <x:c r="A99" s="18"/>
      <x:c r="B99" s="19"/>
      <x:c r="C99" s="18"/>
      <x:c r="D99" s="18"/>
      <x:c r="E99" s="18"/>
      <x:c r="F99" s="18"/>
      <x:c r="G99" s="18"/>
      <x:c r="H99" s="18"/>
      <x:c r="I99" s="18"/>
      <x:c r="J99" s="18"/>
      <x:c r="K99" s="18"/>
      <x:c r="L99" s="20"/>
      <x:c r="M99" s="20"/>
      <x:c r="N99" s="18"/>
      <x:c r="O99" s="18"/>
      <x:c r="P99" s="20"/>
      <x:c r="Q99" s="20"/>
      <x:c r="R99" s="21" t="n">
        <x:f>(F99+G99)/60</x:f>
        <x:v>0</x:v>
      </x:c>
      <x:c r="S99" s="21" t="n">
        <x:f>R99+N99+O99</x:f>
        <x:v>0</x:v>
      </x:c>
      <x:c r="T99" s="20" t="n">
        <x:f>P99-Q99</x:f>
        <x:v>0</x:v>
      </x:c>
      <x:c r="U99" s="20" t="n">
        <x:f>IF(S99&gt;0,T99/S99,0)</x:f>
        <x:v>0</x:v>
      </x:c>
      <x:c r="V99" s="18"/>
      <x:c r="W99" s="18"/>
      <x:c r="X99" s="18"/>
      <x:c r="Y99" s="18"/>
    </x:row>
    <x:row r="100">
      <x:c r="A100" s="18"/>
      <x:c r="B100" s="19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20"/>
      <x:c r="M100" s="20"/>
      <x:c r="N100" s="18"/>
      <x:c r="O100" s="18"/>
      <x:c r="P100" s="20"/>
      <x:c r="Q100" s="20"/>
      <x:c r="R100" s="21" t="n">
        <x:f>(F100+G100)/60</x:f>
        <x:v>0</x:v>
      </x:c>
      <x:c r="S100" s="21" t="n">
        <x:f>R100+N100+O100</x:f>
        <x:v>0</x:v>
      </x:c>
      <x:c r="T100" s="20" t="n">
        <x:f>P100-Q100</x:f>
        <x:v>0</x:v>
      </x:c>
      <x:c r="U100" s="20" t="n">
        <x:f>IF(S100&gt;0,T100/S100,0)</x:f>
        <x:v>0</x:v>
      </x:c>
      <x:c r="V100" s="18"/>
      <x:c r="W100" s="18"/>
      <x:c r="X100" s="18"/>
      <x:c r="Y100" s="18"/>
    </x:row>
    <x:row r="101">
      <x:c r="A101" s="18"/>
      <x:c r="B101" s="19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20"/>
      <x:c r="M101" s="20"/>
      <x:c r="N101" s="18"/>
      <x:c r="O101" s="18"/>
      <x:c r="P101" s="20"/>
      <x:c r="Q101" s="20"/>
      <x:c r="R101" s="21" t="n">
        <x:f>(F101+G101)/60</x:f>
        <x:v>0</x:v>
      </x:c>
      <x:c r="S101" s="21" t="n">
        <x:f>R101+N101+O101</x:f>
        <x:v>0</x:v>
      </x:c>
      <x:c r="T101" s="20" t="n">
        <x:f>P101-Q101</x:f>
        <x:v>0</x:v>
      </x:c>
      <x:c r="U101" s="20" t="n">
        <x:f>IF(S101&gt;0,T101/S101,0)</x:f>
        <x:v>0</x:v>
      </x:c>
      <x:c r="V101" s="18"/>
      <x:c r="W101" s="18"/>
      <x:c r="X101" s="18"/>
      <x:c r="Y101" s="18"/>
    </x:row>
  </x:sheetData>
  <x:dataValidations count="6">
    <x:dataValidation type="list" sqref="D2:D101">
      <x:formula1>Lookups!$E$2:$E$7</x:formula1>
    </x:dataValidation>
    <x:dataValidation type="list" sqref="H2:H101">
      <x:formula1>"Yes,No"</x:formula1>
    </x:dataValidation>
    <x:dataValidation type="list" sqref="I2:I101">
      <x:formula1>"Won,Lost,Deferred,Open"</x:formula1>
    </x:dataValidation>
    <x:dataValidation type="list" sqref="V2:V101">
      <x:formula1>"Yes,No"</x:formula1>
    </x:dataValidation>
    <x:dataValidation type="list" sqref="W2:W101">
      <x:formula1>"Yes,No"</x:formula1>
    </x:dataValidation>
    <x:dataValidation type="list" sqref="X2:X1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d06efbfa1e4a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24" hidden="0" customWidth="1"/>
    <x:col min="7" max="7" width="30" hidden="0" customWidth="1"/>
    <x:col min="8" max="8" width="20" hidden="0" customWidth="1"/>
    <x:col min="9" max="9" width="36" hidden="0" customWidth="1"/>
    <x:col min="10" max="10" width="24" hidden="0" customWidth="1"/>
    <x:col min="11" max="11" width="13" hidden="0" customWidth="1"/>
    <x:col min="12" max="12" width="16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6" t="str">
        <x:v>Job ID</x:v>
      </x:c>
      <x:c r="B1" s="6" t="str">
        <x:v>Original Folder / Path</x:v>
      </x:c>
      <x:c r="C1" s="6" t="str">
        <x:v>Original Filename</x:v>
      </x:c>
      <x:c r="D1" s="6" t="str">
        <x:v>Final Folder / Path</x:v>
      </x:c>
      <x:c r="E1" s="6" t="str">
        <x:v>Final Filename</x:v>
      </x:c>
      <x:c r="F1" s="6" t="str">
        <x:v>Status</x:v>
      </x:c>
      <x:c r="G1" s="6" t="str">
        <x:v>Related File / Pair</x:v>
      </x:c>
      <x:c r="H1" s="6" t="str">
        <x:v>Comparison Method</x:v>
      </x:c>
      <x:c r="I1" s="6" t="str">
        <x:v>Notes</x:v>
      </x:c>
      <x:c r="J1" s="6" t="str">
        <x:v>Customer Decision</x:v>
      </x:c>
      <x:c r="K1" s="6" t="str">
        <x:v>Decision Date</x:v>
      </x:c>
      <x:c r="L1" s="6" t="str">
        <x:v>Deletion Authorized?</x:v>
      </x:c>
      <x:c r="N1" s="27" t="str">
        <x:v>Duplicate / Version Summary</x:v>
      </x:c>
      <x:c r="O1" s="27"/>
      <x:c r="P1" s="27"/>
      <x:c r="Q1" s="27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9"/>
      <x:c r="L2" s="18"/>
      <x:c r="N2" s="33" t="str">
        <x:v>Exact duplicate candidates</x:v>
      </x:c>
      <x:c r="O2" t="n">
        <x:f>COUNTIF(F2:F501,"Exact Duplicate Candidate")</x:f>
        <x:v>0</x:v>
      </x:c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9"/>
      <x:c r="L3" s="18"/>
      <x:c r="N3" s="33" t="str">
        <x:v>Possible versions</x:v>
      </x:c>
      <x:c r="O3" t="n">
        <x:f>COUNTIF(F2:F501,"Possible Version")</x:f>
        <x:v>0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9"/>
      <x:c r="L4" s="18"/>
      <x:c r="N4" s="33" t="str">
        <x:v>Needs customer review</x:v>
      </x:c>
      <x:c r="O4" t="n">
        <x:f>COUNTIF(F2:F501,"Needs Review")</x:f>
        <x:v>0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9"/>
      <x:c r="L5" s="18"/>
      <x:c r="N5" s="33" t="str">
        <x:v>Deleted by authorization</x:v>
      </x:c>
      <x:c r="O5" t="n">
        <x:f>COUNTIF(F2:F501,"Deleted by Authorization")</x:f>
        <x:v>0</x:v>
      </x:c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9"/>
      <x:c r="L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9"/>
      <x:c r="L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9"/>
      <x:c r="L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9"/>
      <x:c r="L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9"/>
      <x:c r="L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9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9"/>
      <x:c r="L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9"/>
      <x:c r="L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9"/>
      <x:c r="L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9"/>
      <x:c r="L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9"/>
      <x:c r="L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9"/>
      <x:c r="L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9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9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9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9"/>
      <x:c r="L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9"/>
      <x:c r="L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9"/>
      <x:c r="L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9"/>
      <x:c r="L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9"/>
      <x:c r="L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9"/>
      <x:c r="L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9"/>
      <x:c r="L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9"/>
      <x:c r="L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9"/>
      <x:c r="L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9"/>
      <x:c r="L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9"/>
      <x:c r="L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9"/>
      <x:c r="L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9"/>
      <x:c r="L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9"/>
      <x:c r="L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9"/>
      <x:c r="L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9"/>
      <x:c r="L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9"/>
      <x:c r="L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9"/>
      <x:c r="L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9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9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9"/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9"/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9"/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9"/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  <x:c r="L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9"/>
      <x:c r="L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9"/>
      <x:c r="L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9"/>
      <x:c r="L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9"/>
      <x:c r="L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9"/>
      <x:c r="L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9"/>
      <x:c r="L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9"/>
      <x:c r="L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9"/>
      <x:c r="L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9"/>
      <x:c r="L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9"/>
      <x:c r="L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9"/>
      <x:c r="L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9"/>
      <x:c r="L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9"/>
      <x:c r="L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9"/>
      <x:c r="L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9"/>
      <x:c r="L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9"/>
      <x:c r="L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9"/>
      <x:c r="L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9"/>
      <x:c r="L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9"/>
      <x:c r="L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9"/>
      <x:c r="L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9"/>
      <x:c r="L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9"/>
      <x:c r="L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9"/>
      <x:c r="L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9"/>
      <x:c r="L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9"/>
      <x:c r="L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9"/>
      <x:c r="L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9"/>
      <x:c r="L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9"/>
      <x:c r="L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9"/>
      <x:c r="L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9"/>
      <x:c r="L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9"/>
      <x:c r="L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9"/>
      <x:c r="L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9"/>
      <x:c r="L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9"/>
      <x:c r="L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9"/>
      <x:c r="L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9"/>
      <x:c r="L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9"/>
      <x:c r="L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9"/>
      <x:c r="L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9"/>
      <x:c r="L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9"/>
      <x:c r="L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9"/>
      <x:c r="L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9"/>
      <x:c r="L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9"/>
      <x:c r="L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9"/>
      <x:c r="L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9"/>
      <x:c r="L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9"/>
      <x:c r="L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9"/>
      <x:c r="L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9"/>
      <x:c r="L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9"/>
      <x:c r="L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9"/>
      <x:c r="L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9"/>
      <x:c r="L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9"/>
      <x:c r="L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9"/>
      <x:c r="L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9"/>
      <x:c r="L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9"/>
      <x:c r="L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9"/>
      <x:c r="L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9"/>
      <x:c r="L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9"/>
      <x:c r="L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9"/>
      <x:c r="L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9"/>
      <x:c r="L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9"/>
      <x:c r="L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9"/>
      <x:c r="L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9"/>
      <x:c r="L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9"/>
      <x:c r="L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9"/>
      <x:c r="L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9"/>
      <x:c r="L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9"/>
      <x:c r="L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9"/>
      <x:c r="L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9"/>
      <x:c r="L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9"/>
      <x:c r="L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9"/>
      <x:c r="L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9"/>
      <x:c r="L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9"/>
      <x:c r="L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9"/>
      <x:c r="L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9"/>
      <x:c r="L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9"/>
      <x:c r="L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9"/>
      <x:c r="L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9"/>
      <x:c r="L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9"/>
      <x:c r="L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9"/>
      <x:c r="L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9"/>
      <x:c r="L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9"/>
      <x:c r="L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9"/>
      <x:c r="L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9"/>
      <x:c r="L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9"/>
      <x:c r="L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9"/>
      <x:c r="L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9"/>
      <x:c r="L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9"/>
      <x:c r="L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9"/>
      <x:c r="L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9"/>
      <x:c r="L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9"/>
      <x:c r="L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9"/>
      <x:c r="L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9"/>
      <x:c r="L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9"/>
      <x:c r="L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9"/>
      <x:c r="L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9"/>
      <x:c r="L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9"/>
      <x:c r="L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9"/>
      <x:c r="L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9"/>
      <x:c r="L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9"/>
      <x:c r="L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9"/>
      <x:c r="L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9"/>
      <x:c r="L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9"/>
      <x:c r="L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9"/>
      <x:c r="L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9"/>
      <x:c r="L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9"/>
      <x:c r="L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9"/>
      <x:c r="L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9"/>
      <x:c r="L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9"/>
      <x:c r="L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9"/>
      <x:c r="L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9"/>
      <x:c r="L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9"/>
      <x:c r="L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9"/>
      <x:c r="L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9"/>
      <x:c r="L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9"/>
      <x:c r="L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9"/>
      <x:c r="L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9"/>
      <x:c r="L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9"/>
      <x:c r="L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9"/>
      <x:c r="L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9"/>
      <x:c r="L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9"/>
      <x:c r="L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9"/>
      <x:c r="L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9"/>
      <x:c r="L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9"/>
      <x:c r="L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9"/>
      <x:c r="L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9"/>
      <x:c r="L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9"/>
      <x:c r="L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9"/>
      <x:c r="L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9"/>
      <x:c r="L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9"/>
      <x:c r="L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9"/>
      <x:c r="L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9"/>
      <x:c r="L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9"/>
      <x:c r="L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9"/>
      <x:c r="L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9"/>
      <x:c r="L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9"/>
      <x:c r="L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9"/>
      <x:c r="L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9"/>
      <x:c r="L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9"/>
      <x:c r="L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9"/>
      <x:c r="L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9"/>
      <x:c r="L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9"/>
      <x:c r="L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9"/>
      <x:c r="L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9"/>
      <x:c r="L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9"/>
      <x:c r="L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9"/>
      <x:c r="L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9"/>
      <x:c r="L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9"/>
      <x:c r="L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9"/>
      <x:c r="L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9"/>
      <x:c r="L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9"/>
      <x:c r="L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9"/>
      <x:c r="L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9"/>
      <x:c r="L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9"/>
      <x:c r="L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9"/>
      <x:c r="L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9"/>
      <x:c r="L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9"/>
      <x:c r="L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9"/>
      <x:c r="L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9"/>
      <x:c r="L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9"/>
      <x:c r="L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9"/>
      <x:c r="L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9"/>
      <x:c r="L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9"/>
      <x:c r="L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9"/>
      <x:c r="L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9"/>
      <x:c r="L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9"/>
      <x:c r="L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9"/>
      <x:c r="L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9"/>
      <x:c r="L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9"/>
      <x:c r="L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9"/>
      <x:c r="L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9"/>
      <x:c r="L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9"/>
      <x:c r="L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9"/>
      <x:c r="L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9"/>
      <x:c r="L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9"/>
      <x:c r="L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9"/>
      <x:c r="L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9"/>
      <x:c r="L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9"/>
      <x:c r="L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9"/>
      <x:c r="L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9"/>
      <x:c r="L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9"/>
      <x:c r="L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9"/>
      <x:c r="L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9"/>
      <x:c r="L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9"/>
      <x:c r="L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9"/>
      <x:c r="L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9"/>
      <x:c r="L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9"/>
      <x:c r="L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9"/>
      <x:c r="L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9"/>
      <x:c r="L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9"/>
      <x:c r="L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9"/>
      <x:c r="L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9"/>
      <x:c r="L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9"/>
      <x:c r="L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9"/>
      <x:c r="L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9"/>
      <x:c r="L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9"/>
      <x:c r="L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9"/>
      <x:c r="L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9"/>
      <x:c r="L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9"/>
      <x:c r="L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9"/>
      <x:c r="L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9"/>
      <x:c r="L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9"/>
      <x:c r="L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9"/>
      <x:c r="L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9"/>
      <x:c r="L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9"/>
      <x:c r="L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9"/>
      <x:c r="L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9"/>
      <x:c r="L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9"/>
      <x:c r="L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9"/>
      <x:c r="L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9"/>
      <x:c r="L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9"/>
      <x:c r="L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9"/>
      <x:c r="L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9"/>
      <x:c r="L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9"/>
      <x:c r="L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9"/>
      <x:c r="L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9"/>
      <x:c r="L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9"/>
      <x:c r="L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9"/>
      <x:c r="L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9"/>
      <x:c r="L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9"/>
      <x:c r="L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9"/>
      <x:c r="L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9"/>
      <x:c r="L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9"/>
      <x:c r="L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9"/>
      <x:c r="L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9"/>
      <x:c r="L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9"/>
      <x:c r="L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9"/>
      <x:c r="L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9"/>
      <x:c r="L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9"/>
      <x:c r="L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9"/>
      <x:c r="L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9"/>
      <x:c r="L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9"/>
      <x:c r="L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9"/>
      <x:c r="L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9"/>
      <x:c r="L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9"/>
      <x:c r="L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9"/>
      <x:c r="L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9"/>
      <x:c r="L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9"/>
      <x:c r="L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9"/>
      <x:c r="L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9"/>
      <x:c r="L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9"/>
      <x:c r="L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9"/>
      <x:c r="L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9"/>
      <x:c r="L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9"/>
      <x:c r="L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9"/>
      <x:c r="L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9"/>
      <x:c r="L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9"/>
      <x:c r="L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9"/>
      <x:c r="L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9"/>
      <x:c r="L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9"/>
      <x:c r="L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9"/>
      <x:c r="L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9"/>
      <x:c r="L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9"/>
      <x:c r="L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9"/>
      <x:c r="L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9"/>
      <x:c r="L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9"/>
      <x:c r="L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9"/>
      <x:c r="L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9"/>
      <x:c r="L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9"/>
      <x:c r="L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9"/>
      <x:c r="L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9"/>
      <x:c r="L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9"/>
      <x:c r="L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9"/>
      <x:c r="L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9"/>
      <x:c r="L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9"/>
      <x:c r="L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9"/>
      <x:c r="L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9"/>
      <x:c r="L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9"/>
      <x:c r="L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9"/>
      <x:c r="L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9"/>
      <x:c r="L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9"/>
      <x:c r="L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9"/>
      <x:c r="L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9"/>
      <x:c r="L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9"/>
      <x:c r="L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9"/>
      <x:c r="L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9"/>
      <x:c r="L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9"/>
      <x:c r="L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9"/>
      <x:c r="L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9"/>
      <x:c r="L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9"/>
      <x:c r="L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9"/>
      <x:c r="L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9"/>
      <x:c r="L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9"/>
      <x:c r="L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9"/>
      <x:c r="L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9"/>
      <x:c r="L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9"/>
      <x:c r="L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9"/>
      <x:c r="L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9"/>
      <x:c r="L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9"/>
      <x:c r="L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9"/>
      <x:c r="L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9"/>
      <x:c r="L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9"/>
      <x:c r="L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9"/>
      <x:c r="L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9"/>
      <x:c r="L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9"/>
      <x:c r="L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9"/>
      <x:c r="L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9"/>
      <x:c r="L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9"/>
      <x:c r="L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9"/>
      <x:c r="L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9"/>
      <x:c r="L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9"/>
      <x:c r="L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9"/>
      <x:c r="L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9"/>
      <x:c r="L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9"/>
      <x:c r="L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9"/>
      <x:c r="L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9"/>
      <x:c r="L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9"/>
      <x:c r="L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9"/>
      <x:c r="L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9"/>
      <x:c r="L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9"/>
      <x:c r="L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9"/>
      <x:c r="L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9"/>
      <x:c r="L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9"/>
      <x:c r="L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9"/>
      <x:c r="L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9"/>
      <x:c r="L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9"/>
      <x:c r="L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9"/>
      <x:c r="L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9"/>
      <x:c r="L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9"/>
      <x:c r="L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9"/>
      <x:c r="L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9"/>
      <x:c r="L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9"/>
      <x:c r="L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9"/>
      <x:c r="L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9"/>
      <x:c r="L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9"/>
      <x:c r="L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9"/>
      <x:c r="L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9"/>
      <x:c r="L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9"/>
      <x:c r="L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9"/>
      <x:c r="L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9"/>
      <x:c r="L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9"/>
      <x:c r="L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9"/>
      <x:c r="L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9"/>
      <x:c r="L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9"/>
      <x:c r="L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9"/>
      <x:c r="L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9"/>
      <x:c r="L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9"/>
      <x:c r="L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9"/>
      <x:c r="L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9"/>
      <x:c r="L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9"/>
      <x:c r="L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9"/>
      <x:c r="L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9"/>
      <x:c r="L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9"/>
      <x:c r="L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9"/>
      <x:c r="L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9"/>
      <x:c r="L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9"/>
      <x:c r="L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9"/>
      <x:c r="L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9"/>
      <x:c r="L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9"/>
      <x:c r="L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9"/>
      <x:c r="L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9"/>
      <x:c r="L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9"/>
      <x:c r="L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9"/>
      <x:c r="L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9"/>
      <x:c r="L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9"/>
      <x:c r="L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9"/>
      <x:c r="L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9"/>
      <x:c r="L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9"/>
      <x:c r="L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9"/>
      <x:c r="L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9"/>
      <x:c r="L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9"/>
      <x:c r="L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9"/>
      <x:c r="L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9"/>
      <x:c r="L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9"/>
      <x:c r="L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9"/>
      <x:c r="L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9"/>
      <x:c r="L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9"/>
      <x:c r="L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9"/>
      <x:c r="L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9"/>
      <x:c r="L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9"/>
      <x:c r="L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9"/>
      <x:c r="L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9"/>
      <x:c r="L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9"/>
      <x:c r="L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9"/>
      <x:c r="L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9"/>
      <x:c r="L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9"/>
      <x:c r="L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9"/>
      <x:c r="L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9"/>
      <x:c r="L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9"/>
      <x:c r="L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9"/>
      <x:c r="L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9"/>
      <x:c r="L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9"/>
      <x:c r="L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9"/>
      <x:c r="L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9"/>
      <x:c r="L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9"/>
      <x:c r="L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9"/>
      <x:c r="L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9"/>
      <x:c r="L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9"/>
      <x:c r="L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9"/>
      <x:c r="L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9"/>
      <x:c r="L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9"/>
      <x:c r="L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9"/>
      <x:c r="L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9"/>
      <x:c r="L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9"/>
      <x:c r="L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9"/>
      <x:c r="L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9"/>
      <x:c r="L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9"/>
      <x:c r="L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9"/>
      <x:c r="L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9"/>
      <x:c r="L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9"/>
      <x:c r="L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9"/>
      <x:c r="L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9"/>
      <x:c r="L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9"/>
      <x:c r="L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9"/>
      <x:c r="L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9"/>
      <x:c r="L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9"/>
      <x:c r="L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9"/>
      <x:c r="L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9"/>
      <x:c r="L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9"/>
      <x:c r="L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9"/>
      <x:c r="L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9"/>
      <x:c r="L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9"/>
      <x:c r="L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9"/>
      <x:c r="L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9"/>
      <x:c r="L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9"/>
      <x:c r="L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9"/>
      <x:c r="L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9"/>
      <x:c r="L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9"/>
      <x:c r="L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9"/>
      <x:c r="L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9"/>
      <x:c r="L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9"/>
      <x:c r="L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9"/>
      <x:c r="L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9"/>
      <x:c r="L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9"/>
      <x:c r="L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9"/>
      <x:c r="L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9"/>
      <x:c r="L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9"/>
      <x:c r="L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9"/>
      <x:c r="L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9"/>
      <x:c r="L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9"/>
      <x:c r="L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9"/>
      <x:c r="L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9"/>
      <x:c r="L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9"/>
      <x:c r="L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9"/>
      <x:c r="L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9"/>
      <x:c r="L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9"/>
      <x:c r="L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9"/>
      <x:c r="L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9"/>
      <x:c r="L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9"/>
      <x:c r="L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9"/>
      <x:c r="L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9"/>
      <x:c r="L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9"/>
      <x:c r="L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9"/>
      <x:c r="L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9"/>
      <x:c r="L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9"/>
      <x:c r="L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9"/>
      <x:c r="L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9"/>
      <x:c r="L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9"/>
      <x:c r="L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9"/>
      <x:c r="L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9"/>
      <x:c r="L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9"/>
      <x:c r="L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9"/>
      <x:c r="L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9"/>
      <x:c r="L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9"/>
      <x:c r="L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9"/>
      <x:c r="L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9"/>
      <x:c r="L501" s="18"/>
    </x:row>
  </x:sheetData>
  <x:mergeCells>
    <x:mergeCell ref="N1:Q1"/>
  </x:mergeCells>
  <x:dataValidations count="3">
    <x:dataValidation type="list" sqref="F2:F501">
      <x:formula1>Lookups!$C$2:$C$6</x:formula1>
    </x:dataValidation>
    <x:dataValidation type="list" sqref="J2:J501">
      <x:formula1>Lookups!$D$2:$D$8</x:formula1>
    </x:dataValidation>
    <x:dataValidation type="list" sqref="L2:L501">
      <x:formula1>"Yes,No,N/A"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cc155124f74c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30" hidden="0" customWidth="1"/>
    <x:col min="5" max="5" width="36" hidden="0" customWidth="1"/>
    <x:col min="6" max="6" width="34" hidden="0" customWidth="1"/>
    <x:col min="7" max="7" width="14" hidden="0" customWidth="1"/>
    <x:col min="8" max="8" width="13" hidden="0" customWidth="1"/>
    <x:col min="9" max="9" width="30" hidden="0" customWidth="1"/>
    <x:col min="10" max="10" width="12" hidden="0" customWidth="1"/>
    <x:col min="11" max="11" width="24" hidden="0" customWidth="1"/>
    <x:col min="12" max="12" width="30" hidden="0" customWidth="1"/>
  </x:cols>
  <x:sheetData>
    <x:row r="1">
      <x:c r="A1" s="6" t="str">
        <x:v>Prospect ID</x:v>
      </x:c>
      <x:c r="B1" s="6" t="str">
        <x:v>Business / Person</x:v>
      </x:c>
      <x:c r="C1" s="6" t="str">
        <x:v>Segment</x:v>
      </x:c>
      <x:c r="D1" s="6" t="str">
        <x:v>Contact / Website</x:v>
      </x:c>
      <x:c r="E1" s="6" t="str">
        <x:v>Why RFR Fit?</x:v>
      </x:c>
      <x:c r="F1" s="6" t="str">
        <x:v>Evidence / Source</x:v>
      </x:c>
      <x:c r="G1" s="6" t="str">
        <x:v>Status</x:v>
      </x:c>
      <x:c r="H1" s="6" t="str">
        <x:v>Outreach Date</x:v>
      </x:c>
      <x:c r="I1" s="6" t="str">
        <x:v>Response</x:v>
      </x:c>
      <x:c r="J1" s="6" t="str">
        <x:v>Qualified?</x:v>
      </x:c>
      <x:c r="K1" s="6" t="str">
        <x:v>Next Step</x:v>
      </x:c>
      <x:c r="L1" s="6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9"/>
      <x:c r="I2" s="18"/>
      <x:c r="J2" s="18"/>
      <x:c r="K2" s="18"/>
      <x:c r="L2" s="18"/>
    </x:row>
    <x:row r="3">
      <x:c r="A3" s="18"/>
      <x:c r="B3" s="18"/>
      <x:c r="C3" s="18"/>
      <x:c r="D3" s="18"/>
      <x:c r="E3" s="18"/>
      <x:c r="F3" s="18"/>
      <x:c r="G3" s="18"/>
      <x:c r="H3" s="19"/>
      <x:c r="I3" s="18"/>
      <x:c r="J3" s="18"/>
      <x:c r="K3" s="18"/>
      <x:c r="L3" s="18"/>
    </x:row>
    <x:row r="4">
      <x:c r="A4" s="18"/>
      <x:c r="B4" s="18"/>
      <x:c r="C4" s="18"/>
      <x:c r="D4" s="18"/>
      <x:c r="E4" s="18"/>
      <x:c r="F4" s="18"/>
      <x:c r="G4" s="18"/>
      <x:c r="H4" s="19"/>
      <x:c r="I4" s="18"/>
      <x:c r="J4" s="18"/>
      <x:c r="K4" s="18"/>
      <x:c r="L4" s="18"/>
    </x:row>
    <x:row r="5">
      <x:c r="A5" s="18"/>
      <x:c r="B5" s="18"/>
      <x:c r="C5" s="18"/>
      <x:c r="D5" s="18"/>
      <x:c r="E5" s="18"/>
      <x:c r="F5" s="18"/>
      <x:c r="G5" s="18"/>
      <x:c r="H5" s="19"/>
      <x:c r="I5" s="18"/>
      <x:c r="J5" s="18"/>
      <x:c r="K5" s="18"/>
      <x:c r="L5" s="18"/>
    </x:row>
    <x:row r="6">
      <x:c r="A6" s="18"/>
      <x:c r="B6" s="18"/>
      <x:c r="C6" s="18"/>
      <x:c r="D6" s="18"/>
      <x:c r="E6" s="18"/>
      <x:c r="F6" s="18"/>
      <x:c r="G6" s="18"/>
      <x:c r="H6" s="19"/>
      <x:c r="I6" s="18"/>
      <x:c r="J6" s="18"/>
      <x:c r="K6" s="18"/>
      <x:c r="L6" s="18"/>
    </x:row>
    <x:row r="7">
      <x:c r="A7" s="18"/>
      <x:c r="B7" s="18"/>
      <x:c r="C7" s="18"/>
      <x:c r="D7" s="18"/>
      <x:c r="E7" s="18"/>
      <x:c r="F7" s="18"/>
      <x:c r="G7" s="18"/>
      <x:c r="H7" s="19"/>
      <x:c r="I7" s="18"/>
      <x:c r="J7" s="18"/>
      <x:c r="K7" s="18"/>
      <x:c r="L7" s="18"/>
    </x:row>
    <x:row r="8">
      <x:c r="A8" s="18"/>
      <x:c r="B8" s="18"/>
      <x:c r="C8" s="18"/>
      <x:c r="D8" s="18"/>
      <x:c r="E8" s="18"/>
      <x:c r="F8" s="18"/>
      <x:c r="G8" s="18"/>
      <x:c r="H8" s="19"/>
      <x:c r="I8" s="18"/>
      <x:c r="J8" s="18"/>
      <x:c r="K8" s="18"/>
      <x:c r="L8" s="18"/>
    </x:row>
    <x:row r="9">
      <x:c r="A9" s="18"/>
      <x:c r="B9" s="18"/>
      <x:c r="C9" s="18"/>
      <x:c r="D9" s="18"/>
      <x:c r="E9" s="18"/>
      <x:c r="F9" s="18"/>
      <x:c r="G9" s="18"/>
      <x:c r="H9" s="19"/>
      <x:c r="I9" s="18"/>
      <x:c r="J9" s="18"/>
      <x:c r="K9" s="18"/>
      <x:c r="L9" s="18"/>
    </x:row>
    <x:row r="10">
      <x:c r="A10" s="18"/>
      <x:c r="B10" s="18"/>
      <x:c r="C10" s="18"/>
      <x:c r="D10" s="18"/>
      <x:c r="E10" s="18"/>
      <x:c r="F10" s="18"/>
      <x:c r="G10" s="18"/>
      <x:c r="H10" s="19"/>
      <x:c r="I10" s="18"/>
      <x:c r="J10" s="18"/>
      <x:c r="K10" s="18"/>
      <x:c r="L10" s="18"/>
    </x:row>
    <x:row r="11">
      <x:c r="A11" s="18"/>
      <x:c r="B11" s="18"/>
      <x:c r="C11" s="18"/>
      <x:c r="D11" s="18"/>
      <x:c r="E11" s="18"/>
      <x:c r="F11" s="18"/>
      <x:c r="G11" s="18"/>
      <x:c r="H11" s="19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9"/>
      <x:c r="I12" s="18"/>
      <x:c r="J12" s="18"/>
      <x:c r="K12" s="18"/>
      <x:c r="L12" s="18"/>
    </x:row>
    <x:row r="13">
      <x:c r="A13" s="18"/>
      <x:c r="B13" s="18"/>
      <x:c r="C13" s="18"/>
      <x:c r="D13" s="18"/>
      <x:c r="E13" s="18"/>
      <x:c r="F13" s="18"/>
      <x:c r="G13" s="18"/>
      <x:c r="H13" s="19"/>
      <x:c r="I13" s="18"/>
      <x:c r="J13" s="18"/>
      <x:c r="K13" s="18"/>
      <x:c r="L13" s="18"/>
    </x:row>
    <x:row r="14">
      <x:c r="A14" s="18"/>
      <x:c r="B14" s="18"/>
      <x:c r="C14" s="18"/>
      <x:c r="D14" s="18"/>
      <x:c r="E14" s="18"/>
      <x:c r="F14" s="18"/>
      <x:c r="G14" s="18"/>
      <x:c r="H14" s="19"/>
      <x:c r="I14" s="18"/>
      <x:c r="J14" s="18"/>
      <x:c r="K14" s="18"/>
      <x:c r="L14" s="18"/>
    </x:row>
    <x:row r="15">
      <x:c r="A15" s="18"/>
      <x:c r="B15" s="18"/>
      <x:c r="C15" s="18"/>
      <x:c r="D15" s="18"/>
      <x:c r="E15" s="18"/>
      <x:c r="F15" s="18"/>
      <x:c r="G15" s="18"/>
      <x:c r="H15" s="19"/>
      <x:c r="I15" s="18"/>
      <x:c r="J15" s="18"/>
      <x:c r="K15" s="18"/>
      <x:c r="L15" s="18"/>
    </x:row>
    <x:row r="16">
      <x:c r="A16" s="18"/>
      <x:c r="B16" s="18"/>
      <x:c r="C16" s="18"/>
      <x:c r="D16" s="18"/>
      <x:c r="E16" s="18"/>
      <x:c r="F16" s="18"/>
      <x:c r="G16" s="18"/>
      <x:c r="H16" s="19"/>
      <x:c r="I16" s="18"/>
      <x:c r="J16" s="18"/>
      <x:c r="K16" s="18"/>
      <x:c r="L16" s="18"/>
    </x:row>
    <x:row r="17">
      <x:c r="A17" s="18"/>
      <x:c r="B17" s="18"/>
      <x:c r="C17" s="18"/>
      <x:c r="D17" s="18"/>
      <x:c r="E17" s="18"/>
      <x:c r="F17" s="18"/>
      <x:c r="G17" s="18"/>
      <x:c r="H17" s="19"/>
      <x:c r="I17" s="18"/>
      <x:c r="J17" s="18"/>
      <x:c r="K17" s="18"/>
      <x:c r="L17" s="18"/>
    </x:row>
    <x:row r="18">
      <x:c r="A18" s="18"/>
      <x:c r="B18" s="18"/>
      <x:c r="C18" s="18"/>
      <x:c r="D18" s="18"/>
      <x:c r="E18" s="18"/>
      <x:c r="F18" s="18"/>
      <x:c r="G18" s="18"/>
      <x:c r="H18" s="19"/>
      <x:c r="I18" s="18"/>
      <x:c r="J18" s="18"/>
      <x:c r="K18" s="18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9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9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9"/>
      <x:c r="I21" s="18"/>
      <x:c r="J21" s="18"/>
      <x:c r="K21" s="18"/>
      <x:c r="L21" s="18"/>
    </x:row>
    <x:row r="22">
      <x:c r="A22" s="18"/>
      <x:c r="B22" s="18"/>
      <x:c r="C22" s="18"/>
      <x:c r="D22" s="18"/>
      <x:c r="E22" s="18"/>
      <x:c r="F22" s="18"/>
      <x:c r="G22" s="18"/>
      <x:c r="H22" s="19"/>
      <x:c r="I22" s="18"/>
      <x:c r="J22" s="18"/>
      <x:c r="K22" s="18"/>
      <x:c r="L22" s="18"/>
    </x:row>
    <x:row r="23">
      <x:c r="A23" s="18"/>
      <x:c r="B23" s="18"/>
      <x:c r="C23" s="18"/>
      <x:c r="D23" s="18"/>
      <x:c r="E23" s="18"/>
      <x:c r="F23" s="18"/>
      <x:c r="G23" s="18"/>
      <x:c r="H23" s="19"/>
      <x:c r="I23" s="18"/>
      <x:c r="J23" s="18"/>
      <x:c r="K23" s="18"/>
      <x:c r="L23" s="18"/>
    </x:row>
    <x:row r="24">
      <x:c r="A24" s="18"/>
      <x:c r="B24" s="18"/>
      <x:c r="C24" s="18"/>
      <x:c r="D24" s="18"/>
      <x:c r="E24" s="18"/>
      <x:c r="F24" s="18"/>
      <x:c r="G24" s="18"/>
      <x:c r="H24" s="19"/>
      <x:c r="I24" s="18"/>
      <x:c r="J24" s="18"/>
      <x:c r="K24" s="18"/>
      <x:c r="L24" s="18"/>
    </x:row>
    <x:row r="25">
      <x:c r="A25" s="18"/>
      <x:c r="B25" s="18"/>
      <x:c r="C25" s="18"/>
      <x:c r="D25" s="18"/>
      <x:c r="E25" s="18"/>
      <x:c r="F25" s="18"/>
      <x:c r="G25" s="18"/>
      <x:c r="H25" s="19"/>
      <x:c r="I25" s="18"/>
      <x:c r="J25" s="18"/>
      <x:c r="K25" s="18"/>
      <x:c r="L25" s="18"/>
    </x:row>
    <x:row r="26">
      <x:c r="A26" s="18"/>
      <x:c r="B26" s="18"/>
      <x:c r="C26" s="18"/>
      <x:c r="D26" s="18"/>
      <x:c r="E26" s="18"/>
      <x:c r="F26" s="18"/>
      <x:c r="G26" s="18"/>
      <x:c r="H26" s="19"/>
      <x:c r="I26" s="18"/>
      <x:c r="J26" s="18"/>
      <x:c r="K26" s="18"/>
      <x:c r="L26" s="18"/>
    </x:row>
    <x:row r="27">
      <x:c r="A27" s="18"/>
      <x:c r="B27" s="18"/>
      <x:c r="C27" s="18"/>
      <x:c r="D27" s="18"/>
      <x:c r="E27" s="18"/>
      <x:c r="F27" s="18"/>
      <x:c r="G27" s="18"/>
      <x:c r="H27" s="19"/>
      <x:c r="I27" s="18"/>
      <x:c r="J27" s="18"/>
      <x:c r="K27" s="18"/>
      <x:c r="L27" s="18"/>
    </x:row>
    <x:row r="28">
      <x:c r="A28" s="18"/>
      <x:c r="B28" s="18"/>
      <x:c r="C28" s="18"/>
      <x:c r="D28" s="18"/>
      <x:c r="E28" s="18"/>
      <x:c r="F28" s="18"/>
      <x:c r="G28" s="18"/>
      <x:c r="H28" s="19"/>
      <x:c r="I28" s="18"/>
      <x:c r="J28" s="18"/>
      <x:c r="K28" s="18"/>
      <x:c r="L28" s="18"/>
    </x:row>
    <x:row r="29">
      <x:c r="A29" s="18"/>
      <x:c r="B29" s="18"/>
      <x:c r="C29" s="18"/>
      <x:c r="D29" s="18"/>
      <x:c r="E29" s="18"/>
      <x:c r="F29" s="18"/>
      <x:c r="G29" s="18"/>
      <x:c r="H29" s="19"/>
      <x:c r="I29" s="18"/>
      <x:c r="J29" s="18"/>
      <x:c r="K29" s="18"/>
      <x:c r="L29" s="18"/>
    </x:row>
    <x:row r="30">
      <x:c r="A30" s="18"/>
      <x:c r="B30" s="18"/>
      <x:c r="C30" s="18"/>
      <x:c r="D30" s="18"/>
      <x:c r="E30" s="18"/>
      <x:c r="F30" s="18"/>
      <x:c r="G30" s="18"/>
      <x:c r="H30" s="19"/>
      <x:c r="I30" s="18"/>
      <x:c r="J30" s="18"/>
      <x:c r="K30" s="18"/>
      <x:c r="L30" s="18"/>
    </x:row>
    <x:row r="31">
      <x:c r="A31" s="18"/>
      <x:c r="B31" s="18"/>
      <x:c r="C31" s="18"/>
      <x:c r="D31" s="18"/>
      <x:c r="E31" s="18"/>
      <x:c r="F31" s="18"/>
      <x:c r="G31" s="18"/>
      <x:c r="H31" s="19"/>
      <x:c r="I31" s="18"/>
      <x:c r="J31" s="18"/>
      <x:c r="K31" s="18"/>
      <x:c r="L31" s="18"/>
    </x:row>
    <x:row r="32">
      <x:c r="A32" s="18"/>
      <x:c r="B32" s="18"/>
      <x:c r="C32" s="18"/>
      <x:c r="D32" s="18"/>
      <x:c r="E32" s="18"/>
      <x:c r="F32" s="18"/>
      <x:c r="G32" s="18"/>
      <x:c r="H32" s="19"/>
      <x:c r="I32" s="18"/>
      <x:c r="J32" s="18"/>
      <x:c r="K32" s="18"/>
      <x:c r="L32" s="18"/>
    </x:row>
    <x:row r="33">
      <x:c r="A33" s="18"/>
      <x:c r="B33" s="18"/>
      <x:c r="C33" s="18"/>
      <x:c r="D33" s="18"/>
      <x:c r="E33" s="18"/>
      <x:c r="F33" s="18"/>
      <x:c r="G33" s="18"/>
      <x:c r="H33" s="19"/>
      <x:c r="I33" s="18"/>
      <x:c r="J33" s="18"/>
      <x:c r="K33" s="18"/>
      <x:c r="L33" s="18"/>
    </x:row>
    <x:row r="34">
      <x:c r="A34" s="18"/>
      <x:c r="B34" s="18"/>
      <x:c r="C34" s="18"/>
      <x:c r="D34" s="18"/>
      <x:c r="E34" s="18"/>
      <x:c r="F34" s="18"/>
      <x:c r="G34" s="18"/>
      <x:c r="H34" s="19"/>
      <x:c r="I34" s="18"/>
      <x:c r="J34" s="18"/>
      <x:c r="K34" s="18"/>
      <x:c r="L34" s="18"/>
    </x:row>
    <x:row r="35">
      <x:c r="A35" s="18"/>
      <x:c r="B35" s="18"/>
      <x:c r="C35" s="18"/>
      <x:c r="D35" s="18"/>
      <x:c r="E35" s="18"/>
      <x:c r="F35" s="18"/>
      <x:c r="G35" s="18"/>
      <x:c r="H35" s="19"/>
      <x:c r="I35" s="18"/>
      <x:c r="J35" s="18"/>
      <x:c r="K35" s="18"/>
      <x:c r="L35" s="18"/>
    </x:row>
    <x:row r="36">
      <x:c r="A36" s="18"/>
      <x:c r="B36" s="18"/>
      <x:c r="C36" s="18"/>
      <x:c r="D36" s="18"/>
      <x:c r="E36" s="18"/>
      <x:c r="F36" s="18"/>
      <x:c r="G36" s="18"/>
      <x:c r="H36" s="19"/>
      <x:c r="I36" s="18"/>
      <x:c r="J36" s="18"/>
      <x:c r="K36" s="18"/>
      <x:c r="L36" s="18"/>
    </x:row>
    <x:row r="37">
      <x:c r="A37" s="18"/>
      <x:c r="B37" s="18"/>
      <x:c r="C37" s="18"/>
      <x:c r="D37" s="18"/>
      <x:c r="E37" s="18"/>
      <x:c r="F37" s="18"/>
      <x:c r="G37" s="18"/>
      <x:c r="H37" s="19"/>
      <x:c r="I37" s="18"/>
      <x:c r="J37" s="18"/>
      <x:c r="K37" s="18"/>
      <x:c r="L37" s="18"/>
    </x:row>
    <x:row r="38">
      <x:c r="A38" s="18"/>
      <x:c r="B38" s="18"/>
      <x:c r="C38" s="18"/>
      <x:c r="D38" s="18"/>
      <x:c r="E38" s="18"/>
      <x:c r="F38" s="18"/>
      <x:c r="G38" s="18"/>
      <x:c r="H38" s="19"/>
      <x:c r="I38" s="18"/>
      <x:c r="J38" s="18"/>
      <x:c r="K38" s="18"/>
      <x:c r="L38" s="18"/>
    </x:row>
    <x:row r="39">
      <x:c r="A39" s="18"/>
      <x:c r="B39" s="18"/>
      <x:c r="C39" s="18"/>
      <x:c r="D39" s="18"/>
      <x:c r="E39" s="18"/>
      <x:c r="F39" s="18"/>
      <x:c r="G39" s="18"/>
      <x:c r="H39" s="19"/>
      <x:c r="I39" s="18"/>
      <x:c r="J39" s="18"/>
      <x:c r="K39" s="18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9"/>
      <x:c r="I40" s="18"/>
      <x:c r="J40" s="18"/>
      <x:c r="K40" s="18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9"/>
      <x:c r="I41" s="18"/>
      <x:c r="J41" s="18"/>
      <x:c r="K41" s="18"/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9"/>
      <x:c r="I42" s="18"/>
      <x:c r="J42" s="18"/>
      <x:c r="K42" s="18"/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9"/>
      <x:c r="I43" s="18"/>
      <x:c r="J43" s="18"/>
      <x:c r="K43" s="18"/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9"/>
      <x:c r="I44" s="18"/>
      <x:c r="J44" s="18"/>
      <x:c r="K44" s="18"/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9"/>
      <x:c r="I45" s="18"/>
      <x:c r="J45" s="18"/>
      <x:c r="K45" s="18"/>
      <x:c r="L45" s="18"/>
    </x:row>
    <x:row r="46">
      <x:c r="A46" s="18"/>
      <x:c r="B46" s="18"/>
      <x:c r="C46" s="18"/>
      <x:c r="D46" s="18"/>
      <x:c r="E46" s="18"/>
      <x:c r="F46" s="18"/>
      <x:c r="G46" s="18"/>
      <x:c r="H46" s="19"/>
      <x:c r="I46" s="18"/>
      <x:c r="J46" s="18"/>
      <x:c r="K46" s="18"/>
      <x:c r="L46" s="18"/>
    </x:row>
    <x:row r="47">
      <x:c r="A47" s="18"/>
      <x:c r="B47" s="18"/>
      <x:c r="C47" s="18"/>
      <x:c r="D47" s="18"/>
      <x:c r="E47" s="18"/>
      <x:c r="F47" s="18"/>
      <x:c r="G47" s="18"/>
      <x:c r="H47" s="19"/>
      <x:c r="I47" s="18"/>
      <x:c r="J47" s="18"/>
      <x:c r="K47" s="18"/>
      <x:c r="L47" s="18"/>
    </x:row>
    <x:row r="48">
      <x:c r="A48" s="18"/>
      <x:c r="B48" s="18"/>
      <x:c r="C48" s="18"/>
      <x:c r="D48" s="18"/>
      <x:c r="E48" s="18"/>
      <x:c r="F48" s="18"/>
      <x:c r="G48" s="18"/>
      <x:c r="H48" s="19"/>
      <x:c r="I48" s="18"/>
      <x:c r="J48" s="18"/>
      <x:c r="K48" s="18"/>
      <x:c r="L48" s="18"/>
    </x:row>
    <x:row r="49">
      <x:c r="A49" s="18"/>
      <x:c r="B49" s="18"/>
      <x:c r="C49" s="18"/>
      <x:c r="D49" s="18"/>
      <x:c r="E49" s="18"/>
      <x:c r="F49" s="18"/>
      <x:c r="G49" s="18"/>
      <x:c r="H49" s="19"/>
      <x:c r="I49" s="18"/>
      <x:c r="J49" s="18"/>
      <x:c r="K49" s="18"/>
      <x:c r="L49" s="18"/>
    </x:row>
    <x:row r="50">
      <x:c r="A50" s="18"/>
      <x:c r="B50" s="18"/>
      <x:c r="C50" s="18"/>
      <x:c r="D50" s="18"/>
      <x:c r="E50" s="18"/>
      <x:c r="F50" s="18"/>
      <x:c r="G50" s="18"/>
      <x:c r="H50" s="19"/>
      <x:c r="I50" s="18"/>
      <x:c r="J50" s="18"/>
      <x:c r="K50" s="18"/>
      <x:c r="L50" s="18"/>
    </x:row>
    <x:row r="51">
      <x:c r="A51" s="18"/>
      <x:c r="B51" s="18"/>
      <x:c r="C51" s="18"/>
      <x:c r="D51" s="18"/>
      <x:c r="E51" s="18"/>
      <x:c r="F51" s="18"/>
      <x:c r="G51" s="18"/>
      <x:c r="H51" s="19"/>
      <x:c r="I51" s="18"/>
      <x:c r="J51" s="18"/>
      <x:c r="K51" s="18"/>
      <x:c r="L51" s="18"/>
    </x:row>
    <x:row r="52">
      <x:c r="A52" s="18"/>
      <x:c r="B52" s="18"/>
      <x:c r="C52" s="18"/>
      <x:c r="D52" s="18"/>
      <x:c r="E52" s="18"/>
      <x:c r="F52" s="18"/>
      <x:c r="G52" s="18"/>
      <x:c r="H52" s="19"/>
      <x:c r="I52" s="18"/>
      <x:c r="J52" s="18"/>
      <x:c r="K52" s="18"/>
      <x:c r="L52" s="18"/>
    </x:row>
    <x:row r="53">
      <x:c r="A53" s="18"/>
      <x:c r="B53" s="18"/>
      <x:c r="C53" s="18"/>
      <x:c r="D53" s="18"/>
      <x:c r="E53" s="18"/>
      <x:c r="F53" s="18"/>
      <x:c r="G53" s="18"/>
      <x:c r="H53" s="19"/>
      <x:c r="I53" s="18"/>
      <x:c r="J53" s="18"/>
      <x:c r="K53" s="18"/>
      <x:c r="L53" s="18"/>
    </x:row>
    <x:row r="54">
      <x:c r="A54" s="18"/>
      <x:c r="B54" s="18"/>
      <x:c r="C54" s="18"/>
      <x:c r="D54" s="18"/>
      <x:c r="E54" s="18"/>
      <x:c r="F54" s="18"/>
      <x:c r="G54" s="18"/>
      <x:c r="H54" s="19"/>
      <x:c r="I54" s="18"/>
      <x:c r="J54" s="18"/>
      <x:c r="K54" s="18"/>
      <x:c r="L54" s="18"/>
    </x:row>
    <x:row r="55">
      <x:c r="A55" s="18"/>
      <x:c r="B55" s="18"/>
      <x:c r="C55" s="18"/>
      <x:c r="D55" s="18"/>
      <x:c r="E55" s="18"/>
      <x:c r="F55" s="18"/>
      <x:c r="G55" s="18"/>
      <x:c r="H55" s="19"/>
      <x:c r="I55" s="18"/>
      <x:c r="J55" s="18"/>
      <x:c r="K55" s="18"/>
      <x:c r="L55" s="18"/>
    </x:row>
    <x:row r="56">
      <x:c r="A56" s="18"/>
      <x:c r="B56" s="18"/>
      <x:c r="C56" s="18"/>
      <x:c r="D56" s="18"/>
      <x:c r="E56" s="18"/>
      <x:c r="F56" s="18"/>
      <x:c r="G56" s="18"/>
      <x:c r="H56" s="19"/>
      <x:c r="I56" s="18"/>
      <x:c r="J56" s="18"/>
      <x:c r="K56" s="18"/>
      <x:c r="L56" s="18"/>
    </x:row>
    <x:row r="57">
      <x:c r="A57" s="18"/>
      <x:c r="B57" s="18"/>
      <x:c r="C57" s="18"/>
      <x:c r="D57" s="18"/>
      <x:c r="E57" s="18"/>
      <x:c r="F57" s="18"/>
      <x:c r="G57" s="18"/>
      <x:c r="H57" s="19"/>
      <x:c r="I57" s="18"/>
      <x:c r="J57" s="18"/>
      <x:c r="K57" s="18"/>
      <x:c r="L57" s="18"/>
    </x:row>
    <x:row r="58">
      <x:c r="A58" s="18"/>
      <x:c r="B58" s="18"/>
      <x:c r="C58" s="18"/>
      <x:c r="D58" s="18"/>
      <x:c r="E58" s="18"/>
      <x:c r="F58" s="18"/>
      <x:c r="G58" s="18"/>
      <x:c r="H58" s="19"/>
      <x:c r="I58" s="18"/>
      <x:c r="J58" s="18"/>
      <x:c r="K58" s="18"/>
      <x:c r="L58" s="18"/>
    </x:row>
    <x:row r="59">
      <x:c r="A59" s="18"/>
      <x:c r="B59" s="18"/>
      <x:c r="C59" s="18"/>
      <x:c r="D59" s="18"/>
      <x:c r="E59" s="18"/>
      <x:c r="F59" s="18"/>
      <x:c r="G59" s="18"/>
      <x:c r="H59" s="19"/>
      <x:c r="I59" s="18"/>
      <x:c r="J59" s="18"/>
      <x:c r="K59" s="18"/>
      <x:c r="L59" s="18"/>
    </x:row>
    <x:row r="60">
      <x:c r="A60" s="18"/>
      <x:c r="B60" s="18"/>
      <x:c r="C60" s="18"/>
      <x:c r="D60" s="18"/>
      <x:c r="E60" s="18"/>
      <x:c r="F60" s="18"/>
      <x:c r="G60" s="18"/>
      <x:c r="H60" s="19"/>
      <x:c r="I60" s="18"/>
      <x:c r="J60" s="18"/>
      <x:c r="K60" s="18"/>
      <x:c r="L60" s="18"/>
    </x:row>
    <x:row r="61">
      <x:c r="A61" s="18"/>
      <x:c r="B61" s="18"/>
      <x:c r="C61" s="18"/>
      <x:c r="D61" s="18"/>
      <x:c r="E61" s="18"/>
      <x:c r="F61" s="18"/>
      <x:c r="G61" s="18"/>
      <x:c r="H61" s="19"/>
      <x:c r="I61" s="18"/>
      <x:c r="J61" s="18"/>
      <x:c r="K61" s="18"/>
      <x:c r="L61" s="18"/>
    </x:row>
    <x:row r="62">
      <x:c r="A62" s="18"/>
      <x:c r="B62" s="18"/>
      <x:c r="C62" s="18"/>
      <x:c r="D62" s="18"/>
      <x:c r="E62" s="18"/>
      <x:c r="F62" s="18"/>
      <x:c r="G62" s="18"/>
      <x:c r="H62" s="19"/>
      <x:c r="I62" s="18"/>
      <x:c r="J62" s="18"/>
      <x:c r="K62" s="18"/>
      <x:c r="L62" s="18"/>
    </x:row>
    <x:row r="63">
      <x:c r="A63" s="18"/>
      <x:c r="B63" s="18"/>
      <x:c r="C63" s="18"/>
      <x:c r="D63" s="18"/>
      <x:c r="E63" s="18"/>
      <x:c r="F63" s="18"/>
      <x:c r="G63" s="18"/>
      <x:c r="H63" s="19"/>
      <x:c r="I63" s="18"/>
      <x:c r="J63" s="18"/>
      <x:c r="K63" s="18"/>
      <x:c r="L63" s="18"/>
    </x:row>
    <x:row r="64">
      <x:c r="A64" s="18"/>
      <x:c r="B64" s="18"/>
      <x:c r="C64" s="18"/>
      <x:c r="D64" s="18"/>
      <x:c r="E64" s="18"/>
      <x:c r="F64" s="18"/>
      <x:c r="G64" s="18"/>
      <x:c r="H64" s="19"/>
      <x:c r="I64" s="18"/>
      <x:c r="J64" s="18"/>
      <x:c r="K64" s="18"/>
      <x:c r="L64" s="18"/>
    </x:row>
    <x:row r="65">
      <x:c r="A65" s="18"/>
      <x:c r="B65" s="18"/>
      <x:c r="C65" s="18"/>
      <x:c r="D65" s="18"/>
      <x:c r="E65" s="18"/>
      <x:c r="F65" s="18"/>
      <x:c r="G65" s="18"/>
      <x:c r="H65" s="19"/>
      <x:c r="I65" s="18"/>
      <x:c r="J65" s="18"/>
      <x:c r="K65" s="18"/>
      <x:c r="L65" s="18"/>
    </x:row>
    <x:row r="66">
      <x:c r="A66" s="18"/>
      <x:c r="B66" s="18"/>
      <x:c r="C66" s="18"/>
      <x:c r="D66" s="18"/>
      <x:c r="E66" s="18"/>
      <x:c r="F66" s="18"/>
      <x:c r="G66" s="18"/>
      <x:c r="H66" s="19"/>
      <x:c r="I66" s="18"/>
      <x:c r="J66" s="18"/>
      <x:c r="K66" s="18"/>
      <x:c r="L66" s="18"/>
    </x:row>
    <x:row r="67">
      <x:c r="A67" s="18"/>
      <x:c r="B67" s="18"/>
      <x:c r="C67" s="18"/>
      <x:c r="D67" s="18"/>
      <x:c r="E67" s="18"/>
      <x:c r="F67" s="18"/>
      <x:c r="G67" s="18"/>
      <x:c r="H67" s="19"/>
      <x:c r="I67" s="18"/>
      <x:c r="J67" s="18"/>
      <x:c r="K67" s="18"/>
      <x:c r="L67" s="18"/>
    </x:row>
    <x:row r="68">
      <x:c r="A68" s="18"/>
      <x:c r="B68" s="18"/>
      <x:c r="C68" s="18"/>
      <x:c r="D68" s="18"/>
      <x:c r="E68" s="18"/>
      <x:c r="F68" s="18"/>
      <x:c r="G68" s="18"/>
      <x:c r="H68" s="19"/>
      <x:c r="I68" s="18"/>
      <x:c r="J68" s="18"/>
      <x:c r="K68" s="18"/>
      <x:c r="L68" s="18"/>
    </x:row>
    <x:row r="69">
      <x:c r="A69" s="18"/>
      <x:c r="B69" s="18"/>
      <x:c r="C69" s="18"/>
      <x:c r="D69" s="18"/>
      <x:c r="E69" s="18"/>
      <x:c r="F69" s="18"/>
      <x:c r="G69" s="18"/>
      <x:c r="H69" s="19"/>
      <x:c r="I69" s="18"/>
      <x:c r="J69" s="18"/>
      <x:c r="K69" s="18"/>
      <x:c r="L69" s="18"/>
    </x:row>
    <x:row r="70">
      <x:c r="A70" s="18"/>
      <x:c r="B70" s="18"/>
      <x:c r="C70" s="18"/>
      <x:c r="D70" s="18"/>
      <x:c r="E70" s="18"/>
      <x:c r="F70" s="18"/>
      <x:c r="G70" s="18"/>
      <x:c r="H70" s="19"/>
      <x:c r="I70" s="18"/>
      <x:c r="J70" s="18"/>
      <x:c r="K70" s="18"/>
      <x:c r="L70" s="18"/>
    </x:row>
    <x:row r="71">
      <x:c r="A71" s="18"/>
      <x:c r="B71" s="18"/>
      <x:c r="C71" s="18"/>
      <x:c r="D71" s="18"/>
      <x:c r="E71" s="18"/>
      <x:c r="F71" s="18"/>
      <x:c r="G71" s="18"/>
      <x:c r="H71" s="19"/>
      <x:c r="I71" s="18"/>
      <x:c r="J71" s="18"/>
      <x:c r="K71" s="18"/>
      <x:c r="L71" s="18"/>
    </x:row>
    <x:row r="72">
      <x:c r="A72" s="18"/>
      <x:c r="B72" s="18"/>
      <x:c r="C72" s="18"/>
      <x:c r="D72" s="18"/>
      <x:c r="E72" s="18"/>
      <x:c r="F72" s="18"/>
      <x:c r="G72" s="18"/>
      <x:c r="H72" s="19"/>
      <x:c r="I72" s="18"/>
      <x:c r="J72" s="18"/>
      <x:c r="K72" s="18"/>
      <x:c r="L72" s="18"/>
    </x:row>
    <x:row r="73">
      <x:c r="A73" s="18"/>
      <x:c r="B73" s="18"/>
      <x:c r="C73" s="18"/>
      <x:c r="D73" s="18"/>
      <x:c r="E73" s="18"/>
      <x:c r="F73" s="18"/>
      <x:c r="G73" s="18"/>
      <x:c r="H73" s="19"/>
      <x:c r="I73" s="18"/>
      <x:c r="J73" s="18"/>
      <x:c r="K73" s="18"/>
      <x:c r="L73" s="18"/>
    </x:row>
    <x:row r="74">
      <x:c r="A74" s="18"/>
      <x:c r="B74" s="18"/>
      <x:c r="C74" s="18"/>
      <x:c r="D74" s="18"/>
      <x:c r="E74" s="18"/>
      <x:c r="F74" s="18"/>
      <x:c r="G74" s="18"/>
      <x:c r="H74" s="19"/>
      <x:c r="I74" s="18"/>
      <x:c r="J74" s="18"/>
      <x:c r="K74" s="18"/>
      <x:c r="L74" s="18"/>
    </x:row>
    <x:row r="75">
      <x:c r="A75" s="18"/>
      <x:c r="B75" s="18"/>
      <x:c r="C75" s="18"/>
      <x:c r="D75" s="18"/>
      <x:c r="E75" s="18"/>
      <x:c r="F75" s="18"/>
      <x:c r="G75" s="18"/>
      <x:c r="H75" s="19"/>
      <x:c r="I75" s="18"/>
      <x:c r="J75" s="18"/>
      <x:c r="K75" s="18"/>
      <x:c r="L75" s="18"/>
    </x:row>
    <x:row r="76">
      <x:c r="A76" s="18"/>
      <x:c r="B76" s="18"/>
      <x:c r="C76" s="18"/>
      <x:c r="D76" s="18"/>
      <x:c r="E76" s="18"/>
      <x:c r="F76" s="18"/>
      <x:c r="G76" s="18"/>
      <x:c r="H76" s="19"/>
      <x:c r="I76" s="18"/>
      <x:c r="J76" s="18"/>
      <x:c r="K76" s="18"/>
      <x:c r="L76" s="18"/>
    </x:row>
    <x:row r="77">
      <x:c r="A77" s="18"/>
      <x:c r="B77" s="18"/>
      <x:c r="C77" s="18"/>
      <x:c r="D77" s="18"/>
      <x:c r="E77" s="18"/>
      <x:c r="F77" s="18"/>
      <x:c r="G77" s="18"/>
      <x:c r="H77" s="19"/>
      <x:c r="I77" s="18"/>
      <x:c r="J77" s="18"/>
      <x:c r="K77" s="18"/>
      <x:c r="L77" s="18"/>
    </x:row>
    <x:row r="78">
      <x:c r="A78" s="18"/>
      <x:c r="B78" s="18"/>
      <x:c r="C78" s="18"/>
      <x:c r="D78" s="18"/>
      <x:c r="E78" s="18"/>
      <x:c r="F78" s="18"/>
      <x:c r="G78" s="18"/>
      <x:c r="H78" s="19"/>
      <x:c r="I78" s="18"/>
      <x:c r="J78" s="18"/>
      <x:c r="K78" s="18"/>
      <x:c r="L78" s="18"/>
    </x:row>
    <x:row r="79">
      <x:c r="A79" s="18"/>
      <x:c r="B79" s="18"/>
      <x:c r="C79" s="18"/>
      <x:c r="D79" s="18"/>
      <x:c r="E79" s="18"/>
      <x:c r="F79" s="18"/>
      <x:c r="G79" s="18"/>
      <x:c r="H79" s="19"/>
      <x:c r="I79" s="18"/>
      <x:c r="J79" s="18"/>
      <x:c r="K79" s="18"/>
      <x:c r="L79" s="18"/>
    </x:row>
    <x:row r="80">
      <x:c r="A80" s="18"/>
      <x:c r="B80" s="18"/>
      <x:c r="C80" s="18"/>
      <x:c r="D80" s="18"/>
      <x:c r="E80" s="18"/>
      <x:c r="F80" s="18"/>
      <x:c r="G80" s="18"/>
      <x:c r="H80" s="19"/>
      <x:c r="I80" s="18"/>
      <x:c r="J80" s="18"/>
      <x:c r="K80" s="18"/>
      <x:c r="L80" s="18"/>
    </x:row>
    <x:row r="81">
      <x:c r="A81" s="18"/>
      <x:c r="B81" s="18"/>
      <x:c r="C81" s="18"/>
      <x:c r="D81" s="18"/>
      <x:c r="E81" s="18"/>
      <x:c r="F81" s="18"/>
      <x:c r="G81" s="18"/>
      <x:c r="H81" s="19"/>
      <x:c r="I81" s="18"/>
      <x:c r="J81" s="18"/>
      <x:c r="K81" s="18"/>
      <x:c r="L81" s="18"/>
    </x:row>
    <x:row r="82">
      <x:c r="A82" s="18"/>
      <x:c r="B82" s="18"/>
      <x:c r="C82" s="18"/>
      <x:c r="D82" s="18"/>
      <x:c r="E82" s="18"/>
      <x:c r="F82" s="18"/>
      <x:c r="G82" s="18"/>
      <x:c r="H82" s="19"/>
      <x:c r="I82" s="18"/>
      <x:c r="J82" s="18"/>
      <x:c r="K82" s="18"/>
      <x:c r="L82" s="18"/>
    </x:row>
    <x:row r="83">
      <x:c r="A83" s="18"/>
      <x:c r="B83" s="18"/>
      <x:c r="C83" s="18"/>
      <x:c r="D83" s="18"/>
      <x:c r="E83" s="18"/>
      <x:c r="F83" s="18"/>
      <x:c r="G83" s="18"/>
      <x:c r="H83" s="19"/>
      <x:c r="I83" s="18"/>
      <x:c r="J83" s="18"/>
      <x:c r="K83" s="18"/>
      <x:c r="L83" s="18"/>
    </x:row>
    <x:row r="84">
      <x:c r="A84" s="18"/>
      <x:c r="B84" s="18"/>
      <x:c r="C84" s="18"/>
      <x:c r="D84" s="18"/>
      <x:c r="E84" s="18"/>
      <x:c r="F84" s="18"/>
      <x:c r="G84" s="18"/>
      <x:c r="H84" s="19"/>
      <x:c r="I84" s="18"/>
      <x:c r="J84" s="18"/>
      <x:c r="K84" s="18"/>
      <x:c r="L84" s="18"/>
    </x:row>
    <x:row r="85">
      <x:c r="A85" s="18"/>
      <x:c r="B85" s="18"/>
      <x:c r="C85" s="18"/>
      <x:c r="D85" s="18"/>
      <x:c r="E85" s="18"/>
      <x:c r="F85" s="18"/>
      <x:c r="G85" s="18"/>
      <x:c r="H85" s="19"/>
      <x:c r="I85" s="18"/>
      <x:c r="J85" s="18"/>
      <x:c r="K85" s="18"/>
      <x:c r="L85" s="18"/>
    </x:row>
    <x:row r="86">
      <x:c r="A86" s="18"/>
      <x:c r="B86" s="18"/>
      <x:c r="C86" s="18"/>
      <x:c r="D86" s="18"/>
      <x:c r="E86" s="18"/>
      <x:c r="F86" s="18"/>
      <x:c r="G86" s="18"/>
      <x:c r="H86" s="19"/>
      <x:c r="I86" s="18"/>
      <x:c r="J86" s="18"/>
      <x:c r="K86" s="18"/>
      <x:c r="L86" s="18"/>
    </x:row>
    <x:row r="87">
      <x:c r="A87" s="18"/>
      <x:c r="B87" s="18"/>
      <x:c r="C87" s="18"/>
      <x:c r="D87" s="18"/>
      <x:c r="E87" s="18"/>
      <x:c r="F87" s="18"/>
      <x:c r="G87" s="18"/>
      <x:c r="H87" s="19"/>
      <x:c r="I87" s="18"/>
      <x:c r="J87" s="18"/>
      <x:c r="K87" s="18"/>
      <x:c r="L87" s="18"/>
    </x:row>
    <x:row r="88">
      <x:c r="A88" s="18"/>
      <x:c r="B88" s="18"/>
      <x:c r="C88" s="18"/>
      <x:c r="D88" s="18"/>
      <x:c r="E88" s="18"/>
      <x:c r="F88" s="18"/>
      <x:c r="G88" s="18"/>
      <x:c r="H88" s="19"/>
      <x:c r="I88" s="18"/>
      <x:c r="J88" s="18"/>
      <x:c r="K88" s="18"/>
      <x:c r="L88" s="18"/>
    </x:row>
    <x:row r="89">
      <x:c r="A89" s="18"/>
      <x:c r="B89" s="18"/>
      <x:c r="C89" s="18"/>
      <x:c r="D89" s="18"/>
      <x:c r="E89" s="18"/>
      <x:c r="F89" s="18"/>
      <x:c r="G89" s="18"/>
      <x:c r="H89" s="19"/>
      <x:c r="I89" s="18"/>
      <x:c r="J89" s="18"/>
      <x:c r="K89" s="18"/>
      <x:c r="L89" s="18"/>
    </x:row>
    <x:row r="90">
      <x:c r="A90" s="18"/>
      <x:c r="B90" s="18"/>
      <x:c r="C90" s="18"/>
      <x:c r="D90" s="18"/>
      <x:c r="E90" s="18"/>
      <x:c r="F90" s="18"/>
      <x:c r="G90" s="18"/>
      <x:c r="H90" s="19"/>
      <x:c r="I90" s="18"/>
      <x:c r="J90" s="18"/>
      <x:c r="K90" s="18"/>
      <x:c r="L90" s="18"/>
    </x:row>
    <x:row r="91">
      <x:c r="A91" s="18"/>
      <x:c r="B91" s="18"/>
      <x:c r="C91" s="18"/>
      <x:c r="D91" s="18"/>
      <x:c r="E91" s="18"/>
      <x:c r="F91" s="18"/>
      <x:c r="G91" s="18"/>
      <x:c r="H91" s="19"/>
      <x:c r="I91" s="18"/>
      <x:c r="J91" s="18"/>
      <x:c r="K91" s="18"/>
      <x:c r="L91" s="18"/>
    </x:row>
    <x:row r="92">
      <x:c r="A92" s="18"/>
      <x:c r="B92" s="18"/>
      <x:c r="C92" s="18"/>
      <x:c r="D92" s="18"/>
      <x:c r="E92" s="18"/>
      <x:c r="F92" s="18"/>
      <x:c r="G92" s="18"/>
      <x:c r="H92" s="19"/>
      <x:c r="I92" s="18"/>
      <x:c r="J92" s="18"/>
      <x:c r="K92" s="18"/>
      <x:c r="L92" s="18"/>
    </x:row>
    <x:row r="93">
      <x:c r="A93" s="18"/>
      <x:c r="B93" s="18"/>
      <x:c r="C93" s="18"/>
      <x:c r="D93" s="18"/>
      <x:c r="E93" s="18"/>
      <x:c r="F93" s="18"/>
      <x:c r="G93" s="18"/>
      <x:c r="H93" s="19"/>
      <x:c r="I93" s="18"/>
      <x:c r="J93" s="18"/>
      <x:c r="K93" s="18"/>
      <x:c r="L93" s="18"/>
    </x:row>
    <x:row r="94">
      <x:c r="A94" s="18"/>
      <x:c r="B94" s="18"/>
      <x:c r="C94" s="18"/>
      <x:c r="D94" s="18"/>
      <x:c r="E94" s="18"/>
      <x:c r="F94" s="18"/>
      <x:c r="G94" s="18"/>
      <x:c r="H94" s="19"/>
      <x:c r="I94" s="18"/>
      <x:c r="J94" s="18"/>
      <x:c r="K94" s="18"/>
      <x:c r="L94" s="18"/>
    </x:row>
    <x:row r="95">
      <x:c r="A95" s="18"/>
      <x:c r="B95" s="18"/>
      <x:c r="C95" s="18"/>
      <x:c r="D95" s="18"/>
      <x:c r="E95" s="18"/>
      <x:c r="F95" s="18"/>
      <x:c r="G95" s="18"/>
      <x:c r="H95" s="19"/>
      <x:c r="I95" s="18"/>
      <x:c r="J95" s="18"/>
      <x:c r="K95" s="18"/>
      <x:c r="L95" s="18"/>
    </x:row>
    <x:row r="96">
      <x:c r="A96" s="18"/>
      <x:c r="B96" s="18"/>
      <x:c r="C96" s="18"/>
      <x:c r="D96" s="18"/>
      <x:c r="E96" s="18"/>
      <x:c r="F96" s="18"/>
      <x:c r="G96" s="18"/>
      <x:c r="H96" s="19"/>
      <x:c r="I96" s="18"/>
      <x:c r="J96" s="18"/>
      <x:c r="K96" s="18"/>
      <x:c r="L96" s="18"/>
    </x:row>
    <x:row r="97">
      <x:c r="A97" s="18"/>
      <x:c r="B97" s="18"/>
      <x:c r="C97" s="18"/>
      <x:c r="D97" s="18"/>
      <x:c r="E97" s="18"/>
      <x:c r="F97" s="18"/>
      <x:c r="G97" s="18"/>
      <x:c r="H97" s="19"/>
      <x:c r="I97" s="18"/>
      <x:c r="J97" s="18"/>
      <x:c r="K97" s="18"/>
      <x:c r="L97" s="18"/>
    </x:row>
    <x:row r="98">
      <x:c r="A98" s="18"/>
      <x:c r="B98" s="18"/>
      <x:c r="C98" s="18"/>
      <x:c r="D98" s="18"/>
      <x:c r="E98" s="18"/>
      <x:c r="F98" s="18"/>
      <x:c r="G98" s="18"/>
      <x:c r="H98" s="19"/>
      <x:c r="I98" s="18"/>
      <x:c r="J98" s="18"/>
      <x:c r="K98" s="18"/>
      <x:c r="L98" s="18"/>
    </x:row>
    <x:row r="99">
      <x:c r="A99" s="18"/>
      <x:c r="B99" s="18"/>
      <x:c r="C99" s="18"/>
      <x:c r="D99" s="18"/>
      <x:c r="E99" s="18"/>
      <x:c r="F99" s="18"/>
      <x:c r="G99" s="18"/>
      <x:c r="H99" s="19"/>
      <x:c r="I99" s="18"/>
      <x:c r="J99" s="18"/>
      <x:c r="K99" s="18"/>
      <x:c r="L99" s="18"/>
    </x:row>
    <x:row r="100">
      <x:c r="A100" s="18"/>
      <x:c r="B100" s="18"/>
      <x:c r="C100" s="18"/>
      <x:c r="D100" s="18"/>
      <x:c r="E100" s="18"/>
      <x:c r="F100" s="18"/>
      <x:c r="G100" s="18"/>
      <x:c r="H100" s="19"/>
      <x:c r="I100" s="18"/>
      <x:c r="J100" s="18"/>
      <x:c r="K100" s="18"/>
      <x:c r="L100" s="18"/>
    </x:row>
    <x:row r="101">
      <x:c r="A101" s="18"/>
      <x:c r="B101" s="18"/>
      <x:c r="C101" s="18"/>
      <x:c r="D101" s="18"/>
      <x:c r="E101" s="18"/>
      <x:c r="F101" s="18"/>
      <x:c r="G101" s="18"/>
      <x:c r="H101" s="19"/>
      <x:c r="I101" s="18"/>
      <x:c r="J101" s="18"/>
      <x:c r="K101" s="18"/>
      <x:c r="L101" s="18"/>
    </x:row>
  </x:sheetData>
  <x:dataValidations count="3">
    <x:dataValidation type="list" sqref="C2:C101">
      <x:formula1>Lookups!$F$2:$F$8</x:formula1>
    </x:dataValidation>
    <x:dataValidation type="list" sqref="G2:G101">
      <x:formula1>Lookups!$A$2:$A$8</x:formula1>
    </x:dataValidation>
    <x:dataValidation type="list" sqref="J2:J101">
      <x:formula1>"Yes,No,Not Yet"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7f62c8301b45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27" t="str">
        <x:v>RAW FILE RESCUE — PILOT VALIDATION DASHBOARD</x:v>
      </x:c>
      <x:c r="B1" s="27"/>
      <x:c r="C1" s="27"/>
      <x:c r="D1" s="27"/>
      <x:c r="E1" s="27"/>
      <x:c r="F1" s="27"/>
      <x:c r="G1" s="27"/>
      <x:c r="H1" s="27"/>
      <x:c r="J1" t="str">
        <x:v>Outcome</x:v>
      </x:c>
      <x:c r="K1" t="str">
        <x:v>Count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J2" t="str">
        <x:v>Won</x:v>
      </x:c>
      <x:c r="K2" t="n">
        <x:f>COUNTIF(Leads_Jobs!I2:I101,"Won")</x:f>
        <x:v>0</x:v>
      </x:c>
    </x:row>
    <x:row r="3">
      <x:c r="J3" t="str">
        <x:v>Lost</x:v>
      </x:c>
      <x:c r="K3" t="n">
        <x:f>COUNTIF(Leads_Jobs!I2:I101,"Lost")</x:f>
        <x:v>0</x:v>
      </x:c>
    </x:row>
    <x:row r="4">
      <x:c r="A4" s="6" t="str">
        <x:v>Metric</x:v>
      </x:c>
      <x:c r="B4" s="6" t="str">
        <x:v>Value</x:v>
      </x:c>
      <x:c r="D4" s="6" t="str">
        <x:v>Pilot Decision Notes</x:v>
      </x:c>
      <x:c r="E4" s="6"/>
      <x:c r="F4" s="6"/>
      <x:c r="G4" s="6"/>
      <x:c r="H4" s="6"/>
      <x:c r="J4" t="str">
        <x:v>Open/Deferred</x:v>
      </x:c>
      <x:c r="K4" t="n">
        <x:f>COUNTIF(Leads_Jobs!I2:I101,"Open")+COUNTIF(Leads_Jobs!I2:I101,"Deferred")</x:f>
        <x:v>0</x:v>
      </x:c>
    </x:row>
    <x:row r="5">
      <x:c r="A5" s="33" t="str">
        <x:v>Leads entered</x:v>
      </x:c>
      <x:c r="B5" t="n">
        <x:f>COUNTIF(Leads_Jobs!A2:A101,"&lt;&gt;")</x:f>
        <x:v>0</x:v>
      </x:c>
      <x:c r="D5" s="42" t="str">
        <x:v>Use this area after each job and after the first five paid customers to record what the evidence says about pricing, target customers, recurring problems, package candidates, and administrative burden.</x:v>
      </x:c>
      <x:c r="E5" s="42"/>
      <x:c r="F5" s="42"/>
      <x:c r="G5" s="42"/>
      <x:c r="H5" s="42"/>
    </x:row>
    <x:row r="6">
      <x:c r="A6" s="33" t="str">
        <x:v>Quotes sent</x:v>
      </x:c>
      <x:c r="B6" t="n">
        <x:f>COUNTIF(Leads_Jobs!H2:H101,"Yes")</x:f>
        <x:v>0</x:v>
      </x:c>
      <x:c r="D6" s="42"/>
      <x:c r="E6" s="42"/>
      <x:c r="F6" s="42"/>
      <x:c r="G6" s="42"/>
      <x:c r="H6" s="42"/>
    </x:row>
    <x:row r="7">
      <x:c r="A7" s="33" t="str">
        <x:v>Paid customers / won jobs</x:v>
      </x:c>
      <x:c r="B7" t="n">
        <x:f>COUNTIF(Leads_Jobs!I2:I101,"Won")</x:f>
        <x:v>0</x:v>
      </x:c>
      <x:c r="D7" s="42"/>
      <x:c r="E7" s="42"/>
      <x:c r="F7" s="42"/>
      <x:c r="G7" s="42"/>
      <x:c r="H7" s="42"/>
    </x:row>
    <x:row r="8">
      <x:c r="A8" s="33" t="str">
        <x:v>Lost leads</x:v>
      </x:c>
      <x:c r="B8" t="n">
        <x:f>COUNTIF(Leads_Jobs!I2:I101,"Lost")</x:f>
        <x:v>0</x:v>
      </x:c>
      <x:c r="D8" s="42"/>
      <x:c r="E8" s="42"/>
      <x:c r="F8" s="42"/>
      <x:c r="G8" s="42"/>
      <x:c r="H8" s="42"/>
    </x:row>
    <x:row r="9">
      <x:c r="A9" s="33" t="str">
        <x:v>Conversion rate</x:v>
      </x:c>
      <x:c r="B9" s="38" t="n">
        <x:f>IF(B5&gt;0,B7/B5,0)</x:f>
        <x:v>0</x:v>
      </x:c>
      <x:c r="D9" s="42"/>
      <x:c r="E9" s="42"/>
      <x:c r="F9" s="42"/>
      <x:c r="G9" s="42"/>
      <x:c r="H9" s="42"/>
    </x:row>
    <x:row r="10">
      <x:c r="A10" s="33" t="str">
        <x:v>Service revenue</x:v>
      </x:c>
      <x:c r="B10" s="14" t="n">
        <x:f>SUM(Leads_Jobs!P2:P101)</x:f>
        <x:v>0</x:v>
      </x:c>
      <x:c r="D10" s="42"/>
      <x:c r="E10" s="42"/>
      <x:c r="F10" s="42"/>
      <x:c r="G10" s="42"/>
      <x:c r="H10" s="42"/>
    </x:row>
    <x:row r="11">
      <x:c r="A11" s="33" t="str">
        <x:v>Direct expenses</x:v>
      </x:c>
      <x:c r="B11" s="14" t="n">
        <x:f>SUM(Leads_Jobs!Q2:Q101)</x:f>
        <x:v>0</x:v>
      </x:c>
      <x:c r="D11" s="42"/>
      <x:c r="E11" s="42"/>
      <x:c r="F11" s="42"/>
      <x:c r="G11" s="42"/>
      <x:c r="H11" s="42"/>
    </x:row>
    <x:row r="12">
      <x:c r="A12" s="33" t="str">
        <x:v>Net revenue before general overhead</x:v>
      </x:c>
      <x:c r="B12" s="14" t="n">
        <x:f>SUM(Leads_Jobs!T2:T101)</x:f>
        <x:v>0</x:v>
      </x:c>
      <x:c r="D12" s="42"/>
      <x:c r="E12" s="42"/>
      <x:c r="F12" s="42"/>
      <x:c r="G12" s="42"/>
      <x:c r="H12" s="42"/>
    </x:row>
    <x:row r="13">
      <x:c r="A13" s="33" t="str">
        <x:v>Billable production hours</x:v>
      </x:c>
      <x:c r="B13" s="16" t="n">
        <x:f>SUM(Leads_Jobs!N2:N101)</x:f>
        <x:v>0</x:v>
      </x:c>
      <x:c r="D13" s="42"/>
      <x:c r="E13" s="42"/>
      <x:c r="F13" s="42"/>
      <x:c r="G13" s="42"/>
      <x:c r="H13" s="42"/>
    </x:row>
    <x:row r="14">
      <x:c r="A14" s="33" t="str">
        <x:v>Travel hours</x:v>
      </x:c>
      <x:c r="B14" s="16" t="n">
        <x:f>SUM(Leads_Jobs!O2:O101)</x:f>
        <x:v>0</x:v>
      </x:c>
    </x:row>
    <x:row r="15">
      <x:c r="A15" s="33" t="str">
        <x:v>Nonbillable presale hours</x:v>
      </x:c>
      <x:c r="B15" s="16" t="n">
        <x:f>SUM(Leads_Jobs!R2:R101)</x:f>
        <x:v>0</x:v>
      </x:c>
      <x:c r="D15" s="6" t="str">
        <x:v>5-Customer Milestone</x:v>
      </x:c>
      <x:c r="E15" s="6"/>
      <x:c r="F15" s="6"/>
      <x:c r="G15" s="6"/>
      <x:c r="H15" s="6"/>
    </x:row>
    <x:row r="16">
      <x:c r="A16" s="33" t="str">
        <x:v>Total attributable hours</x:v>
      </x:c>
      <x:c r="B16" s="16" t="n">
        <x:f>SUM(Leads_Jobs!S2:S101)</x:f>
        <x:v>0</x:v>
      </x:c>
      <x:c r="D16" s="42" t="str">
        <x:v>Do not treat five customers as statistically final. Use them to establish preliminary timing, pricing, workflow, and demand hypotheses for the next validation cycle.</x:v>
      </x:c>
      <x:c r="E16" s="42"/>
      <x:c r="F16" s="42"/>
      <x:c r="G16" s="42"/>
      <x:c r="H16" s="42"/>
    </x:row>
    <x:row r="17">
      <x:c r="A17" s="33" t="str">
        <x:v>Overall effective $ / attributable hour</x:v>
      </x:c>
      <x:c r="B17" s="14" t="n">
        <x:f>IF(B16&gt;0,B12/B16,0)</x:f>
        <x:v>0</x:v>
      </x:c>
      <x:c r="D17" s="42"/>
      <x:c r="E17" s="42"/>
      <x:c r="F17" s="42"/>
      <x:c r="G17" s="42"/>
      <x:c r="H17" s="42"/>
    </x:row>
    <x:row r="18">
      <x:c r="A18" s="33" t="str">
        <x:v>Average customer ticket</x:v>
      </x:c>
      <x:c r="B18" s="14" t="n">
        <x:f>IF(B7&gt;0,B10/B7,0)</x:f>
        <x:v>0</x:v>
      </x:c>
      <x:c r="D18" s="42"/>
      <x:c r="E18" s="42"/>
      <x:c r="F18" s="42"/>
      <x:c r="G18" s="42"/>
      <x:c r="H18" s="42"/>
    </x:row>
    <x:row r="19">
      <x:c r="A19" s="33" t="str">
        <x:v>Scope-creep jobs</x:v>
      </x:c>
      <x:c r="B19" t="n">
        <x:f>COUNTIF(Leads_Jobs!V2:V101,"Yes")</x:f>
        <x:v>0</x:v>
      </x:c>
      <x:c r="D19" s="42"/>
      <x:c r="E19" s="42"/>
      <x:c r="F19" s="42"/>
      <x:c r="G19" s="42"/>
      <x:c r="H19" s="42"/>
    </x:row>
    <x:row r="20">
      <x:c r="A20" s="33" t="str">
        <x:v>Correction jobs</x:v>
      </x:c>
      <x:c r="B20" t="n">
        <x:f>COUNTIF(Leads_Jobs!W2:W101,"Yes")</x:f>
        <x:v>0</x:v>
      </x:c>
      <x:c r="D20" s="42"/>
      <x:c r="E20" s="42"/>
      <x:c r="F20" s="42"/>
      <x:c r="G20" s="42"/>
      <x:c r="H20" s="42"/>
    </x:row>
    <x:row r="21">
      <x:c r="A21" s="33" t="str">
        <x:v>Repeat / referral signals</x:v>
      </x:c>
      <x:c r="B21" t="n">
        <x:f>COUNTIF(Leads_Jobs!X2:X101,"Yes")</x:f>
        <x:v>0</x:v>
      </x:c>
    </x:row>
  </x:sheetData>
  <x:mergeCells>
    <x:mergeCell ref="A1:H2"/>
    <x:mergeCell ref="D4:H4"/>
    <x:mergeCell ref="D5:H13"/>
    <x:mergeCell ref="D15:H15"/>
    <x:mergeCell ref="D16:H20"/>
  </x:mergeCells>
  <x:pageMargins left="0.7" right="0.7" top="0.75" bottom="0.75" header="0.3" footer="0.3"/>
  <x:drawing xmlns:r="http://schemas.openxmlformats.org/officeDocument/2006/relationships" r:id="R1f899d72439944c5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46" t="str">
        <x:v>RFR PILOT TRACKING WORKBOOK v1.0</x:v>
      </x:c>
      <x:c r="B1" s="46"/>
      <x:c r="C1" s="46"/>
      <x:c r="D1" s="46"/>
      <x:c r="E1" s="46"/>
      <x:c r="F1" s="46"/>
    </x:row>
    <x:row r="2">
      <x:c r="A2" s="46"/>
      <x:c r="B2" s="46"/>
      <x:c r="C2" s="46"/>
      <x:c r="D2" s="46"/>
      <x:c r="E2" s="46"/>
      <x:c r="F2" s="46"/>
    </x:row>
    <x:row r="3">
      <x:c r="A3" s="18"/>
      <x:c r="B3" s="18"/>
      <x:c r="C3" s="18"/>
      <x:c r="D3" s="18"/>
      <x:c r="E3" s="18"/>
      <x:c r="F3" s="18"/>
    </x:row>
    <x:row r="4">
      <x:c r="A4" s="33" t="str">
        <x:v>Purpose</x:v>
      </x:c>
      <x:c r="B4" s="18" t="str">
        <x:v>This workbook complements Clockify and the DOCX forms. It should not duplicate second-by-second timing.</x:v>
      </x:c>
      <x:c r="C4" s="18"/>
      <x:c r="D4" s="18"/>
      <x:c r="E4" s="18"/>
      <x:c r="F4" s="18"/>
    </x:row>
    <x:row r="5">
      <x:c r="A5" s="33" t="str">
        <x:v>Leads_Jobs</x:v>
      </x:c>
      <x:c r="B5" s="18" t="str">
        <x:v>One row per meaningful lead/job. Record nonbillable qualification/solution time and paid-job results.</x:v>
      </x:c>
      <x:c r="C5" s="18"/>
      <x:c r="D5" s="18"/>
      <x:c r="E5" s="18"/>
      <x:c r="F5" s="18"/>
    </x:row>
    <x:row r="6">
      <x:c r="A6" s="33" t="str">
        <x:v>Change_Manifest</x:v>
      </x:c>
      <x:c r="B6" s="18" t="str">
        <x:v>Use when a file-organization job benefits from an inventory or duplicate/version record. Do not create one when the labor would add little value.</x:v>
      </x:c>
      <x:c r="C6" s="18"/>
      <x:c r="D6" s="18"/>
      <x:c r="E6" s="18"/>
      <x:c r="F6" s="18"/>
    </x:row>
    <x:row r="7">
      <x:c r="A7" s="33" t="str">
        <x:v>Prospects</x:v>
      </x:c>
      <x:c r="B7" s="18" t="str">
        <x:v>Use for the first 10–20 manually reviewed prospects. Each row should say why the prospect plausibly has an RFR-type problem.</x:v>
      </x:c>
      <x:c r="C7" s="18"/>
      <x:c r="D7" s="18"/>
      <x:c r="E7" s="18"/>
      <x:c r="F7" s="18"/>
    </x:row>
    <x:row r="8">
      <x:c r="A8" s="33" t="str">
        <x:v>Dashboard</x:v>
      </x:c>
      <x:c r="B8" s="18" t="str">
        <x:v>Automatic pilot metrics. After five paid customers, use the data for preliminary repricing/packaging decisions.</x:v>
      </x:c>
      <x:c r="C8" s="18"/>
      <x:c r="D8" s="18"/>
      <x:c r="E8" s="18"/>
      <x:c r="F8" s="18"/>
    </x:row>
    <x:row r="9">
      <x:c r="A9" s="33" t="str">
        <x:v>Clockify</x:v>
      </x:c>
      <x:c r="B9" s="18" t="str">
        <x:v>Clockify remains the official timer. If AI extraction runs while you paste/assemble another part of the same customer's job, count wall-clock time once.</x:v>
      </x:c>
      <x:c r="C9" s="18"/>
      <x:c r="D9" s="18"/>
      <x:c r="E9" s="18"/>
      <x:c r="F9" s="18"/>
    </x:row>
    <x:row r="10">
      <x:c r="A10" s="33" t="str">
        <x:v>Retention</x:v>
      </x:c>
      <x:c r="B10" s="18" t="str">
        <x:v>The 7-day temporary-data clock starts when final delivery is successfully sent or made available using the agreed method; customer acknowledgment is not required.</x:v>
      </x:c>
      <x:c r="C10" s="18"/>
      <x:c r="D10" s="18"/>
      <x:c r="E10" s="18"/>
      <x:c r="F10" s="18"/>
    </x:row>
    <x:row r="11">
      <x:c r="A11" s="18"/>
      <x:c r="B11" s="18"/>
      <x:c r="C11" s="18"/>
      <x:c r="D11" s="18"/>
      <x:c r="E11" s="18"/>
      <x:c r="F11" s="18"/>
    </x:row>
    <x:row r="12">
      <x:c r="A12" s="18"/>
      <x:c r="B12" s="18"/>
      <x:c r="C12" s="18"/>
      <x:c r="D12" s="18"/>
      <x:c r="E12" s="18"/>
      <x:c r="F12" s="18"/>
    </x:row>
  </x:sheetData>
  <x:mergeCells>
    <x:mergeCell ref="A1:F2"/>
  </x:mergeCells>
  <x:pageMargins left="0.7" right="0.7" top="0.75" bottom="0.75" header="0.3" footer="0.3"/>
</x:worksheet>
</file>